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ustudyassist\Documents\r-for-research\life-cycle-assessment\data\spreadsheet\"/>
    </mc:Choice>
  </mc:AlternateContent>
  <xr:revisionPtr revIDLastSave="0" documentId="8_{E0371730-92A4-40C8-B083-A70498297D89}" xr6:coauthVersionLast="47" xr6:coauthVersionMax="47" xr10:uidLastSave="{00000000-0000-0000-0000-000000000000}"/>
  <bookViews>
    <workbookView xWindow="-120" yWindow="-120" windowWidth="38640" windowHeight="21120" tabRatio="500" activeTab="9" xr2:uid="{00000000-000D-0000-FFFF-FFFF00000000}"/>
  </bookViews>
  <sheets>
    <sheet name="Cover" sheetId="1" r:id="rId1"/>
    <sheet name="Notes" sheetId="2" r:id="rId2"/>
    <sheet name="Table_2_1a" sheetId="3" r:id="rId3"/>
    <sheet name="Table_2_1b" sheetId="4" r:id="rId4"/>
    <sheet name="Table_2_2" sheetId="5" r:id="rId5"/>
    <sheet name="Table_2_3" sheetId="6" r:id="rId6"/>
    <sheet name="Table_2_4a" sheetId="7" r:id="rId7"/>
    <sheet name="Table_2_4b" sheetId="8" r:id="rId8"/>
    <sheet name="Table_2_5" sheetId="9" r:id="rId9"/>
    <sheet name="Figure_2_1_data" sheetId="10" r:id="rId10"/>
    <sheet name="Table_2_6" sheetId="11" r:id="rId11"/>
    <sheet name="Figure_2_2_data" sheetId="12" r:id="rId12"/>
    <sheet name="Table_2_7a" sheetId="13" r:id="rId13"/>
    <sheet name="Table_2_7b" sheetId="14" r:id="rId14"/>
    <sheet name="Table_2_8" sheetId="15" r:id="rId15"/>
    <sheet name="Table_2_9" sheetId="16" r:id="rId16"/>
    <sheet name="Table_2_10" sheetId="17" r:id="rId17"/>
    <sheet name="Table_2_11" sheetId="18" r:id="rId18"/>
    <sheet name="Table_2_12" sheetId="19" r:id="rId19"/>
    <sheet name="Table_2_13" sheetId="20" r:id="rId20"/>
    <sheet name="Table_2_14" sheetId="21" r:id="rId21"/>
    <sheet name="Table_2_15" sheetId="22" r:id="rId22"/>
    <sheet name="Table_2_16a" sheetId="23" r:id="rId23"/>
    <sheet name="Table_2_16b" sheetId="24" r:id="rId24"/>
    <sheet name="Table_2_17a" sheetId="25" r:id="rId25"/>
    <sheet name="Table_2_17b" sheetId="26" r:id="rId26"/>
    <sheet name="Table_2_18a" sheetId="27" r:id="rId27"/>
    <sheet name="Table_2_18b" sheetId="28" r:id="rId28"/>
    <sheet name="Table_2_19a" sheetId="29" r:id="rId29"/>
    <sheet name="Table_2_19b" sheetId="30" r:id="rId30"/>
    <sheet name="Table_2_20" sheetId="31" r:id="rId31"/>
    <sheet name="Figure_2_3_data" sheetId="32" r:id="rId32"/>
    <sheet name="Table_2_21" sheetId="33" r:id="rId33"/>
    <sheet name="Table_2_22" sheetId="34" r:id="rId34"/>
    <sheet name="Figure_2_4_data" sheetId="35" r:id="rId35"/>
    <sheet name="Table_2_23" sheetId="36" r:id="rId36"/>
    <sheet name="Table_2_24" sheetId="37" r:id="rId37"/>
    <sheet name="Table_2_25" sheetId="38" r:id="rId38"/>
    <sheet name="Table_2_26" sheetId="39" r:id="rId39"/>
    <sheet name="Table_2_27" sheetId="40" r:id="rId40"/>
    <sheet name="Table_2_28a" sheetId="41" r:id="rId41"/>
    <sheet name="Table_2_28b" sheetId="42" r:id="rId42"/>
    <sheet name="Table_2_29" sheetId="43" r:id="rId43"/>
    <sheet name="Table_2_30" sheetId="44" r:id="rId44"/>
    <sheet name="Table_2_31" sheetId="45" r:id="rId45"/>
    <sheet name="Table_2_32" sheetId="46" r:id="rId46"/>
    <sheet name="Table_2_33" sheetId="47" r:id="rId47"/>
    <sheet name="Table_2_34" sheetId="48" r:id="rId48"/>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H14" i="34" l="1"/>
  <c r="H13" i="34"/>
  <c r="H12" i="34"/>
  <c r="H11" i="34"/>
  <c r="H10" i="34"/>
  <c r="H9" i="34"/>
  <c r="H8" i="34"/>
  <c r="H7" i="34"/>
  <c r="H6" i="34"/>
</calcChain>
</file>

<file path=xl/sharedStrings.xml><?xml version="1.0" encoding="utf-8"?>
<sst xmlns="http://schemas.openxmlformats.org/spreadsheetml/2006/main" count="734" uniqueCount="399">
  <si>
    <t>Forestry Statistics 2023</t>
  </si>
  <si>
    <t>Chapter 2: UK-Grown Timber</t>
  </si>
  <si>
    <r>
      <rPr>
        <b/>
        <sz val="12"/>
        <color rgb="FF000000"/>
        <rFont val="Arial"/>
        <family val="2"/>
        <charset val="1"/>
        <scheme val="minor"/>
      </rPr>
      <t>Publication date</t>
    </r>
    <r>
      <rPr>
        <sz val="12"/>
        <color rgb="FF000000"/>
        <rFont val="Arial"/>
      </rPr>
      <t>: 28 September 2023</t>
    </r>
  </si>
  <si>
    <r>
      <rPr>
        <b/>
        <sz val="12"/>
        <color rgb="FF000000"/>
        <rFont val="Arial"/>
        <family val="2"/>
        <charset val="1"/>
        <scheme val="minor"/>
      </rPr>
      <t>Data period:</t>
    </r>
    <r>
      <rPr>
        <sz val="12"/>
        <color rgb="FF000000"/>
        <rFont val="Arial"/>
      </rPr>
      <t xml:space="preserve"> Data for 2022</t>
    </r>
  </si>
  <si>
    <r>
      <rPr>
        <b/>
        <sz val="12"/>
        <color rgb="FF000000"/>
        <rFont val="Arial"/>
        <family val="2"/>
        <charset val="1"/>
        <scheme val="minor"/>
      </rPr>
      <t>Next update:</t>
    </r>
    <r>
      <rPr>
        <sz val="12"/>
        <color rgb="FF000000"/>
        <rFont val="Arial"/>
      </rPr>
      <t xml:space="preserve"> 26 September 2024</t>
    </r>
  </si>
  <si>
    <t>Contents</t>
  </si>
  <si>
    <r>
      <rPr>
        <b/>
        <sz val="12"/>
        <color rgb="FF000000"/>
        <rFont val="Arial"/>
        <family val="2"/>
        <charset val="1"/>
        <scheme val="minor"/>
      </rPr>
      <t>Table 2.1a:</t>
    </r>
    <r>
      <rPr>
        <sz val="12"/>
        <color rgb="FF000000"/>
        <rFont val="Arial"/>
      </rPr>
      <t xml:space="preserve"> Softwood production, UK, 2013 to 2022</t>
    </r>
  </si>
  <si>
    <r>
      <rPr>
        <b/>
        <sz val="12"/>
        <color rgb="FF000000"/>
        <rFont val="Arial"/>
        <family val="2"/>
        <charset val="1"/>
        <scheme val="minor"/>
      </rPr>
      <t>Table 2.1b:</t>
    </r>
    <r>
      <rPr>
        <sz val="12"/>
        <color rgb="FF000000"/>
        <rFont val="Arial"/>
      </rPr>
      <t xml:space="preserve"> Hardwood production, UK, 2013 to 2022</t>
    </r>
  </si>
  <si>
    <r>
      <rPr>
        <b/>
        <sz val="12"/>
        <color rgb="FF000000"/>
        <rFont val="Arial"/>
        <family val="2"/>
        <charset val="1"/>
        <scheme val="minor"/>
      </rPr>
      <t>Table 2.2:</t>
    </r>
    <r>
      <rPr>
        <sz val="12"/>
        <color rgb="FF000000"/>
        <rFont val="Arial"/>
      </rPr>
      <t xml:space="preserve"> Private sector softwood removals by country, UK, 2013 to 2022</t>
    </r>
  </si>
  <si>
    <r>
      <rPr>
        <b/>
        <sz val="12"/>
        <color rgb="FF000000"/>
        <rFont val="Arial"/>
        <family val="2"/>
        <charset val="1"/>
        <scheme val="minor"/>
      </rPr>
      <t>Table 2.3:</t>
    </r>
    <r>
      <rPr>
        <sz val="12"/>
        <color rgb="FF000000"/>
        <rFont val="Arial"/>
      </rPr>
      <t xml:space="preserve"> FE/FLS/NRW/FS softwood removals by country, UK, 2013 to 2022</t>
    </r>
  </si>
  <si>
    <r>
      <rPr>
        <b/>
        <sz val="12"/>
        <color rgb="FF000000"/>
        <rFont val="Arial"/>
        <family val="2"/>
        <charset val="1"/>
        <scheme val="minor"/>
      </rPr>
      <t>Table 2.4a:</t>
    </r>
    <r>
      <rPr>
        <sz val="12"/>
        <color rgb="FF000000"/>
        <rFont val="Arial"/>
      </rPr>
      <t xml:space="preserve"> 25-year forecast of softwood availability; average annual volumes within periods, UK</t>
    </r>
  </si>
  <si>
    <r>
      <rPr>
        <b/>
        <sz val="12"/>
        <color rgb="FF000000"/>
        <rFont val="Arial"/>
        <family val="2"/>
        <charset val="1"/>
        <scheme val="minor"/>
      </rPr>
      <t>Table 2.4b:</t>
    </r>
    <r>
      <rPr>
        <sz val="12"/>
        <color rgb="FF000000"/>
        <rFont val="Arial"/>
      </rPr>
      <t xml:space="preserve"> Hardwood availability forecasts, UK</t>
    </r>
  </si>
  <si>
    <r>
      <rPr>
        <b/>
        <sz val="12"/>
        <color rgb="FF000000"/>
        <rFont val="Arial"/>
        <family val="2"/>
        <charset val="1"/>
        <scheme val="minor"/>
      </rPr>
      <t>Table 2.5:</t>
    </r>
    <r>
      <rPr>
        <sz val="12"/>
        <color rgb="FF000000"/>
        <rFont val="Arial"/>
      </rPr>
      <t xml:space="preserve"> Deliveries of UK grown softwood, UK, 2013 to 2022</t>
    </r>
  </si>
  <si>
    <r>
      <rPr>
        <b/>
        <sz val="12"/>
        <color rgb="FF000000"/>
        <rFont val="Arial"/>
        <family val="2"/>
        <charset val="1"/>
        <scheme val="minor"/>
      </rPr>
      <t xml:space="preserve">Data for Figure 2.1: </t>
    </r>
    <r>
      <rPr>
        <sz val="12"/>
        <color rgb="FF000000"/>
        <rFont val="Arial"/>
      </rPr>
      <t>Deliveries of UK grown softwood, UK, 1994 to 2022</t>
    </r>
  </si>
  <si>
    <r>
      <rPr>
        <b/>
        <sz val="12"/>
        <color rgb="FF000000"/>
        <rFont val="Arial"/>
        <family val="2"/>
        <charset val="1"/>
        <scheme val="minor"/>
      </rPr>
      <t xml:space="preserve">Table 2.6: </t>
    </r>
    <r>
      <rPr>
        <sz val="12"/>
        <color rgb="FF000000"/>
        <rFont val="Arial"/>
      </rPr>
      <t>Deliveries of UK grown hardwood, UK, 2013 to 2022</t>
    </r>
  </si>
  <si>
    <r>
      <rPr>
        <b/>
        <sz val="12"/>
        <color rgb="FF000000"/>
        <rFont val="Arial"/>
        <family val="2"/>
        <charset val="1"/>
        <scheme val="minor"/>
      </rPr>
      <t>Data for Figure 2.2:</t>
    </r>
    <r>
      <rPr>
        <sz val="12"/>
        <color rgb="FF000000"/>
        <rFont val="Arial"/>
      </rPr>
      <t xml:space="preserve"> Deliveries of UK grown hardwood, UK, 1994 to 2022</t>
    </r>
  </si>
  <si>
    <r>
      <rPr>
        <b/>
        <sz val="12"/>
        <color rgb="FF000000"/>
        <rFont val="Arial"/>
        <family val="2"/>
        <charset val="1"/>
        <scheme val="minor"/>
      </rPr>
      <t>Table 2.7a:</t>
    </r>
    <r>
      <rPr>
        <sz val="12"/>
        <color rgb="FF000000"/>
        <rFont val="Arial"/>
      </rPr>
      <t xml:space="preserve"> Consumption by sawmills, UK, 2013 to 2022</t>
    </r>
  </si>
  <si>
    <r>
      <rPr>
        <b/>
        <sz val="12"/>
        <color rgb="FF000000"/>
        <rFont val="Arial"/>
        <family val="2"/>
        <charset val="1"/>
        <scheme val="minor"/>
      </rPr>
      <t>Table 2.7b:</t>
    </r>
    <r>
      <rPr>
        <sz val="12"/>
        <color rgb="FF000000"/>
        <rFont val="Arial"/>
      </rPr>
      <t xml:space="preserve"> Production by sawmills, UK, 2013 to 2022</t>
    </r>
  </si>
  <si>
    <r>
      <rPr>
        <b/>
        <sz val="12"/>
        <color rgb="FF000000"/>
        <rFont val="Arial"/>
        <family val="2"/>
        <charset val="1"/>
        <scheme val="minor"/>
      </rPr>
      <t>Table 2.8:</t>
    </r>
    <r>
      <rPr>
        <sz val="12"/>
        <color rgb="FF000000"/>
        <rFont val="Arial"/>
      </rPr>
      <t xml:space="preserve"> Number of sawmills by size category of mill, UK, 2013 to 2022</t>
    </r>
  </si>
  <si>
    <r>
      <rPr>
        <b/>
        <sz val="12"/>
        <color rgb="FF000000"/>
        <rFont val="Arial"/>
        <family val="2"/>
        <charset val="1"/>
        <scheme val="minor"/>
      </rPr>
      <t xml:space="preserve">Table 2.9: </t>
    </r>
    <r>
      <rPr>
        <sz val="12"/>
        <color rgb="FF000000"/>
        <rFont val="Arial"/>
      </rPr>
      <t>Number of sawmills by country, UK, 2013 to 2022</t>
    </r>
  </si>
  <si>
    <r>
      <rPr>
        <b/>
        <sz val="12"/>
        <color rgb="FF000000"/>
        <rFont val="Arial"/>
        <family val="2"/>
        <charset val="1"/>
        <scheme val="minor"/>
      </rPr>
      <t xml:space="preserve">Table 2.10: </t>
    </r>
    <r>
      <rPr>
        <sz val="12"/>
        <color rgb="FF000000"/>
        <rFont val="Arial"/>
      </rPr>
      <t>Number of sawmills by type of wood sawn, UK, 2013 to 2022</t>
    </r>
  </si>
  <si>
    <r>
      <rPr>
        <b/>
        <sz val="12"/>
        <color rgb="FF000000"/>
        <rFont val="Arial"/>
        <family val="2"/>
        <charset val="1"/>
        <scheme val="minor"/>
      </rPr>
      <t>Table 2.11:</t>
    </r>
    <r>
      <rPr>
        <sz val="12"/>
        <color rgb="FF000000"/>
        <rFont val="Arial"/>
      </rPr>
      <t xml:space="preserve"> Consumption of softwood by size category of mill, UK, 2013 to 2022</t>
    </r>
  </si>
  <si>
    <r>
      <rPr>
        <b/>
        <sz val="12"/>
        <color rgb="FF000000"/>
        <rFont val="Arial"/>
        <family val="2"/>
        <charset val="1"/>
        <scheme val="minor"/>
      </rPr>
      <t xml:space="preserve">Table 2.12: </t>
    </r>
    <r>
      <rPr>
        <sz val="12"/>
        <color rgb="FF000000"/>
        <rFont val="Arial"/>
      </rPr>
      <t>Consumption of softwood by country, UK, 2013 to 2022</t>
    </r>
  </si>
  <si>
    <r>
      <rPr>
        <b/>
        <sz val="12"/>
        <color rgb="FF000000"/>
        <rFont val="Arial"/>
        <family val="2"/>
        <charset val="1"/>
        <scheme val="minor"/>
      </rPr>
      <t xml:space="preserve">Table 2.13: </t>
    </r>
    <r>
      <rPr>
        <sz val="12"/>
        <color rgb="FF000000"/>
        <rFont val="Arial"/>
      </rPr>
      <t>Production of sawn softwood by size category of mill, UK, 2013 to 2022</t>
    </r>
  </si>
  <si>
    <r>
      <rPr>
        <b/>
        <sz val="12"/>
        <color rgb="FF000000"/>
        <rFont val="Arial"/>
        <family val="2"/>
        <charset val="1"/>
        <scheme val="minor"/>
      </rPr>
      <t>Table 2.14:</t>
    </r>
    <r>
      <rPr>
        <sz val="12"/>
        <color rgb="FF000000"/>
        <rFont val="Arial"/>
      </rPr>
      <t xml:space="preserve"> Production of sawn softwood by country, UK, 2013 to 2022</t>
    </r>
  </si>
  <si>
    <r>
      <rPr>
        <b/>
        <sz val="12"/>
        <color rgb="FF000000"/>
        <rFont val="Arial"/>
        <family val="2"/>
        <charset val="1"/>
        <scheme val="minor"/>
      </rPr>
      <t>Table 2.15:</t>
    </r>
    <r>
      <rPr>
        <sz val="12"/>
        <color rgb="FF000000"/>
        <rFont val="Arial"/>
      </rPr>
      <t xml:space="preserve"> Softwood consumption and production by larger mills, UK, 2022</t>
    </r>
  </si>
  <si>
    <r>
      <rPr>
        <b/>
        <sz val="12"/>
        <color rgb="FF000000"/>
        <rFont val="Arial"/>
        <family val="2"/>
        <charset val="1"/>
        <scheme val="minor"/>
      </rPr>
      <t xml:space="preserve">Table 2.16a: </t>
    </r>
    <r>
      <rPr>
        <sz val="12"/>
        <color rgb="FF000000"/>
        <rFont val="Arial"/>
      </rPr>
      <t>Source of softwood logs for larger mills, UK, 2022</t>
    </r>
  </si>
  <si>
    <r>
      <rPr>
        <b/>
        <sz val="12"/>
        <color rgb="FF000000"/>
        <rFont val="Arial"/>
        <family val="2"/>
        <charset val="1"/>
        <scheme val="minor"/>
      </rPr>
      <t xml:space="preserve">Table 2.16b: </t>
    </r>
    <r>
      <rPr>
        <sz val="12"/>
        <color rgb="FF000000"/>
        <rFont val="Arial"/>
      </rPr>
      <t>Source of softwood logs for larger mills, UK, 2017 to 2022</t>
    </r>
  </si>
  <si>
    <r>
      <rPr>
        <b/>
        <sz val="12"/>
        <color rgb="FF000000"/>
        <rFont val="Arial"/>
        <family val="2"/>
        <charset val="1"/>
        <scheme val="minor"/>
      </rPr>
      <t xml:space="preserve">Table 2.17a: </t>
    </r>
    <r>
      <rPr>
        <sz val="12"/>
        <color rgb="FF000000"/>
        <rFont val="Arial"/>
      </rPr>
      <t>Sawn softwood product markets for larger mills, UK, 2022</t>
    </r>
  </si>
  <si>
    <r>
      <rPr>
        <b/>
        <sz val="12"/>
        <color rgb="FF000000"/>
        <rFont val="Arial"/>
        <family val="2"/>
        <charset val="1"/>
        <scheme val="minor"/>
      </rPr>
      <t>Table 2.17b:</t>
    </r>
    <r>
      <rPr>
        <sz val="12"/>
        <color rgb="FF000000"/>
        <rFont val="Arial"/>
      </rPr>
      <t xml:space="preserve"> Sawn softwood product markets for larger mills, UK, 2018 to 2022</t>
    </r>
  </si>
  <si>
    <r>
      <rPr>
        <b/>
        <sz val="12"/>
        <color rgb="FF000000"/>
        <rFont val="Arial"/>
        <family val="2"/>
        <charset val="1"/>
        <scheme val="minor"/>
      </rPr>
      <t xml:space="preserve">Table 2.18a: </t>
    </r>
    <r>
      <rPr>
        <sz val="12"/>
        <color rgb="FF000000"/>
        <rFont val="Arial"/>
      </rPr>
      <t>Other softwood products for larger mills, UK, 2022</t>
    </r>
  </si>
  <si>
    <r>
      <rPr>
        <b/>
        <sz val="12"/>
        <color rgb="FF000000"/>
        <rFont val="Arial"/>
        <family val="2"/>
        <charset val="1"/>
        <scheme val="minor"/>
      </rPr>
      <t>Table 2.18b:</t>
    </r>
    <r>
      <rPr>
        <sz val="12"/>
        <color rgb="FF000000"/>
        <rFont val="Arial"/>
      </rPr>
      <t xml:space="preserve"> Other softwood products for larger mills, UK, 2018 to 2022</t>
    </r>
  </si>
  <si>
    <r>
      <rPr>
        <b/>
        <sz val="12"/>
        <color rgb="FF000000"/>
        <rFont val="Arial"/>
        <family val="2"/>
        <charset val="1"/>
        <scheme val="minor"/>
      </rPr>
      <t xml:space="preserve">Table 2.19a: </t>
    </r>
    <r>
      <rPr>
        <sz val="12"/>
        <color rgb="FF000000"/>
        <rFont val="Arial"/>
      </rPr>
      <t>Sawmill employment for larger mills, UK, 2022</t>
    </r>
  </si>
  <si>
    <r>
      <rPr>
        <b/>
        <sz val="12"/>
        <color rgb="FF000000"/>
        <rFont val="Arial"/>
        <family val="2"/>
        <charset val="1"/>
        <scheme val="minor"/>
      </rPr>
      <t>Table 2.19b:</t>
    </r>
    <r>
      <rPr>
        <sz val="12"/>
        <color rgb="FF000000"/>
        <rFont val="Arial"/>
      </rPr>
      <t xml:space="preserve"> Sawmill employment for larger mills, UK, 2018 to 2022</t>
    </r>
  </si>
  <si>
    <r>
      <rPr>
        <b/>
        <sz val="12"/>
        <color rgb="FF000000"/>
        <rFont val="Arial"/>
        <family val="2"/>
        <charset val="1"/>
        <scheme val="minor"/>
      </rPr>
      <t>Table 2.20:</t>
    </r>
    <r>
      <rPr>
        <sz val="12"/>
        <color rgb="FF000000"/>
        <rFont val="Arial"/>
      </rPr>
      <t xml:space="preserve"> Inputs for the integrated pulp &amp; paper mills, UK, 2013 to 2022</t>
    </r>
  </si>
  <si>
    <r>
      <rPr>
        <b/>
        <sz val="12"/>
        <color rgb="FF000000"/>
        <rFont val="Arial"/>
        <family val="2"/>
        <charset val="1"/>
        <scheme val="minor"/>
      </rPr>
      <t>Data for Figure 2.3:</t>
    </r>
    <r>
      <rPr>
        <sz val="12"/>
        <color rgb="FF000000"/>
        <rFont val="Arial"/>
      </rPr>
      <t xml:space="preserve"> Inputs to integrated pulp &amp; paper mills, UK, 1994 to 2022</t>
    </r>
  </si>
  <si>
    <r>
      <rPr>
        <b/>
        <sz val="12"/>
        <color rgb="FF000000"/>
        <rFont val="Arial"/>
        <family val="2"/>
        <charset val="1"/>
        <scheme val="minor"/>
      </rPr>
      <t>Table 2.21:</t>
    </r>
    <r>
      <rPr>
        <sz val="12"/>
        <color rgb="FF000000"/>
        <rFont val="Arial"/>
      </rPr>
      <t xml:space="preserve"> Production of paper and paperboard, UK, 2013 to 2022</t>
    </r>
  </si>
  <si>
    <r>
      <rPr>
        <b/>
        <sz val="12"/>
        <color rgb="FF000000"/>
        <rFont val="Arial"/>
        <family val="2"/>
        <charset val="1"/>
        <scheme val="minor"/>
      </rPr>
      <t xml:space="preserve">Table 2.22: </t>
    </r>
    <r>
      <rPr>
        <sz val="12"/>
        <color rgb="FF000000"/>
        <rFont val="Arial"/>
      </rPr>
      <t>Inputs to woodbased panel mills, UK, 2013 to 2022</t>
    </r>
  </si>
  <si>
    <r>
      <rPr>
        <b/>
        <sz val="12"/>
        <color rgb="FF000000"/>
        <rFont val="Arial"/>
        <family val="2"/>
        <charset val="1"/>
        <scheme val="minor"/>
      </rPr>
      <t xml:space="preserve">Data for Figure 2.4: </t>
    </r>
    <r>
      <rPr>
        <sz val="12"/>
        <color rgb="FF000000"/>
        <rFont val="Arial"/>
      </rPr>
      <t>Inputs to woodbased panel mills, UK, 1994 to 2022</t>
    </r>
  </si>
  <si>
    <r>
      <rPr>
        <b/>
        <sz val="12"/>
        <color rgb="FF000000"/>
        <rFont val="Arial"/>
        <family val="2"/>
        <charset val="1"/>
        <scheme val="minor"/>
      </rPr>
      <t xml:space="preserve">Table 2.23: </t>
    </r>
    <r>
      <rPr>
        <sz val="12"/>
        <color rgb="FF000000"/>
        <rFont val="Arial"/>
      </rPr>
      <t>Woodbased panel production, UK, 2013 to 2022</t>
    </r>
  </si>
  <si>
    <r>
      <rPr>
        <b/>
        <sz val="12"/>
        <color rgb="FF000000"/>
        <rFont val="Arial"/>
        <family val="2"/>
        <charset val="1"/>
        <scheme val="minor"/>
      </rPr>
      <t>Table 2.24:</t>
    </r>
    <r>
      <rPr>
        <sz val="12"/>
        <color rgb="FF000000"/>
        <rFont val="Arial"/>
      </rPr>
      <t xml:space="preserve"> Miscellaneous uses of UK softwood roundwood, UK, 2013 to 2022</t>
    </r>
  </si>
  <si>
    <r>
      <rPr>
        <b/>
        <sz val="12"/>
        <color rgb="FF000000"/>
        <rFont val="Arial"/>
        <family val="2"/>
        <charset val="1"/>
        <scheme val="minor"/>
      </rPr>
      <t xml:space="preserve">Table 2.25: </t>
    </r>
    <r>
      <rPr>
        <sz val="12"/>
        <color rgb="FF000000"/>
        <rFont val="Arial"/>
      </rPr>
      <t>Number of softwood round fencing manufacturers by size category, UK, 2013 to 2022</t>
    </r>
  </si>
  <si>
    <r>
      <rPr>
        <b/>
        <sz val="12"/>
        <color rgb="FF000000"/>
        <rFont val="Arial"/>
        <family val="2"/>
        <charset val="1"/>
        <scheme val="minor"/>
      </rPr>
      <t>Table 2.26:</t>
    </r>
    <r>
      <rPr>
        <sz val="12"/>
        <color rgb="FF000000"/>
        <rFont val="Arial"/>
      </rPr>
      <t xml:space="preserve"> Total roundwood purchased by softwood round fencing manufacturers, by size category, UK, 2013 to 2022</t>
    </r>
  </si>
  <si>
    <r>
      <rPr>
        <b/>
        <sz val="12"/>
        <color rgb="FF000000"/>
        <rFont val="Arial"/>
        <family val="2"/>
        <charset val="1"/>
        <scheme val="minor"/>
      </rPr>
      <t xml:space="preserve">Table 2.27: </t>
    </r>
    <r>
      <rPr>
        <sz val="12"/>
        <color rgb="FF000000"/>
        <rFont val="Arial"/>
      </rPr>
      <t>Summary of softwood exports, UK, 2013 to 2022</t>
    </r>
  </si>
  <si>
    <r>
      <rPr>
        <b/>
        <sz val="12"/>
        <color rgb="FF000000"/>
        <rFont val="Arial"/>
        <family val="2"/>
        <charset val="1"/>
        <scheme val="minor"/>
      </rPr>
      <t xml:space="preserve">Table 2.28a: </t>
    </r>
    <r>
      <rPr>
        <sz val="12"/>
        <color rgb="FF000000"/>
        <rFont val="Arial"/>
      </rPr>
      <t>Per cent of volume certified, UK, 2013 to 2022</t>
    </r>
  </si>
  <si>
    <r>
      <rPr>
        <b/>
        <sz val="12"/>
        <color rgb="FF000000"/>
        <rFont val="Arial"/>
        <family val="2"/>
        <charset val="1"/>
        <scheme val="minor"/>
      </rPr>
      <t>Table 2.28b:</t>
    </r>
    <r>
      <rPr>
        <sz val="12"/>
        <color rgb="FF000000"/>
        <rFont val="Arial"/>
      </rPr>
      <t xml:space="preserve"> Per cent of volume certified by country: softwood removals, UK, 2022</t>
    </r>
  </si>
  <si>
    <r>
      <rPr>
        <b/>
        <sz val="12"/>
        <color rgb="FF000000"/>
        <rFont val="Arial"/>
        <family val="2"/>
        <charset val="1"/>
        <scheme val="minor"/>
      </rPr>
      <t>Table 2.29:</t>
    </r>
    <r>
      <rPr>
        <sz val="12"/>
        <color rgb="FF000000"/>
        <rFont val="Arial"/>
      </rPr>
      <t xml:space="preserve"> Chain of custody certificates, UK, 2022</t>
    </r>
  </si>
  <si>
    <r>
      <rPr>
        <b/>
        <sz val="12"/>
        <color rgb="FF000000"/>
        <rFont val="Arial"/>
        <family val="2"/>
        <charset val="1"/>
        <scheme val="minor"/>
      </rPr>
      <t>Table 2.30:</t>
    </r>
    <r>
      <rPr>
        <sz val="12"/>
        <color rgb="FF000000"/>
        <rFont val="Arial"/>
      </rPr>
      <t xml:space="preserve"> Recycled wood used for woodfuel, UK, 2013 to 2022</t>
    </r>
  </si>
  <si>
    <r>
      <rPr>
        <b/>
        <sz val="12"/>
        <color rgb="FF000000"/>
        <rFont val="Arial"/>
        <family val="2"/>
        <charset val="1"/>
        <scheme val="minor"/>
      </rPr>
      <t>Table 2.31:</t>
    </r>
    <r>
      <rPr>
        <sz val="12"/>
        <color rgb="FF000000"/>
        <rFont val="Arial"/>
      </rPr>
      <t xml:space="preserve"> Woodfuel supply by sawmills and round fencing manufacturers, UK, 2018 to 2022</t>
    </r>
  </si>
  <si>
    <r>
      <rPr>
        <b/>
        <sz val="12"/>
        <color rgb="FF000000"/>
        <rFont val="Arial"/>
        <family val="2"/>
        <charset val="1"/>
        <scheme val="minor"/>
      </rPr>
      <t xml:space="preserve">Table 2.32: </t>
    </r>
    <r>
      <rPr>
        <sz val="12"/>
        <color rgb="FF000000"/>
        <rFont val="Arial"/>
      </rPr>
      <t>Wood pellet production, UK, 2013 to 2022</t>
    </r>
  </si>
  <si>
    <r>
      <rPr>
        <b/>
        <sz val="12"/>
        <color rgb="FF000000"/>
        <rFont val="Arial"/>
        <family val="2"/>
        <charset val="1"/>
        <scheme val="minor"/>
      </rPr>
      <t>Table 2.33:</t>
    </r>
    <r>
      <rPr>
        <sz val="12"/>
        <color rgb="FF000000"/>
        <rFont val="Arial"/>
      </rPr>
      <t xml:space="preserve"> Wood pellet feedstock, UK, 2018 to 2022</t>
    </r>
  </si>
  <si>
    <r>
      <rPr>
        <b/>
        <sz val="12"/>
        <color rgb="FF000000"/>
        <rFont val="Arial"/>
        <family val="2"/>
        <charset val="1"/>
        <scheme val="minor"/>
      </rPr>
      <t>Table 2.34:</t>
    </r>
    <r>
      <rPr>
        <sz val="12"/>
        <color rgb="FF000000"/>
        <rFont val="Arial"/>
      </rPr>
      <t xml:space="preserve"> Preservative treatment of sawnwood and round fencing produced, UK, 2021 to 2022</t>
    </r>
  </si>
  <si>
    <t>Further information</t>
  </si>
  <si>
    <t>Forestry Statistics publication (opens in a new window)</t>
  </si>
  <si>
    <t>Forest Research revisions policy for Official Statistics (opens in a new window)</t>
  </si>
  <si>
    <t>Contact information</t>
  </si>
  <si>
    <t>Forest Information and Statistics team</t>
  </si>
  <si>
    <t>0300 067 5997</t>
  </si>
  <si>
    <t>statistics@forestresearch.gov.uk</t>
  </si>
  <si>
    <t>Defra newsdesk (media enquiries)</t>
  </si>
  <si>
    <t>newsdesk@defra.gov.uk</t>
  </si>
  <si>
    <t>Footnote 
number</t>
  </si>
  <si>
    <t>Footnote 
text</t>
  </si>
  <si>
    <t>[1]</t>
  </si>
  <si>
    <t>FE: Forestry England; FLS: Forestry and Land Scotland; NRW: Natural Resource Wales; FS: Forest Service (Northern Ireland)</t>
  </si>
  <si>
    <t>[2]</t>
  </si>
  <si>
    <t>Private sector: removals from all other woodland (including some publicly owned woodland)</t>
  </si>
  <si>
    <t>[3]</t>
  </si>
  <si>
    <t>Most hardwood production in the UK comes from private sector woodland; the figures are estimates based on reported deliveries to wood processing industries and others.</t>
  </si>
  <si>
    <t>[4]</t>
  </si>
  <si>
    <t>The increase in hardwood removals between 2016 and 2017 is largely attributed to a revised estimate for deliveries of UK grown hardwood used for woodfuel (see Table 2.6). This new estimate should not be interpreted as an increase in a single year.</t>
  </si>
  <si>
    <t>[5]</t>
  </si>
  <si>
    <t>Forecasts for the public forest estate assume that woodlands are managed according to current management plans.</t>
  </si>
  <si>
    <t>[6]</t>
  </si>
  <si>
    <t>Private woodland forecasts for Great Britain represent potential availability of softwood timber under the assumption of a manageable scenario of felling at a specified target diameter where viable.</t>
  </si>
  <si>
    <t>[7]</t>
  </si>
  <si>
    <t>To convert softwood 'overbark standing' into green tonnes multiply by 0.818. See the Sources chapter for more details on conversion factors.</t>
  </si>
  <si>
    <t>[8]</t>
  </si>
  <si>
    <t>The estate of Forestry England (FE), Forestry and Land Scotland (FLS) and Natural Resource Wales (NRW) is assumed to be managed according to current management plans.</t>
  </si>
  <si>
    <t>[9]</t>
  </si>
  <si>
    <t>In private woodland, harvesting is assumed to be limited to areas with evidence of recent thinning activity. If these woodlands were managed to maximise total production, the forecast would be much higher, as illustrated in the full National Forest Inventory report.</t>
  </si>
  <si>
    <t>[10]</t>
  </si>
  <si>
    <t>To convert hardwood 'overbark standing' into green tonnes multiply by 0.900. See the Sources chapter for more details on conversion factors.</t>
  </si>
  <si>
    <t>[11]</t>
  </si>
  <si>
    <t>Woodfuel deried from stemwood. Includes estimates of roundwood use for biomass energy. The figures are estimated by the Expert Group on Timber and Trade Statistics, and make use of wood fuel data reported in the Private Sector Softwood Removals Survey.</t>
  </si>
  <si>
    <t>[12]</t>
  </si>
  <si>
    <t>Include shavings and poles. Quantities for some uses are estimated by the Expert Group on Timber and Trade Statistics.</t>
  </si>
  <si>
    <t>[13]</t>
  </si>
  <si>
    <t>Figures are based on processing industries' purchases of hardwood grown in the UK and estimates for woodfuel and other uses.</t>
  </si>
  <si>
    <t>[14]</t>
  </si>
  <si>
    <t>Woodfuel reported here is derived from stemwood and includes estimated roundwood use for biomass energy.</t>
  </si>
  <si>
    <t>[15]</t>
  </si>
  <si>
    <t>The apparent increase in woodfuel from 2016 to 2017 reflects a new estimate of the level of hardwood deliveries for woodfuel and should not be interpreted as an increase in a single year.</t>
  </si>
  <si>
    <t>[16]</t>
  </si>
  <si>
    <t>Other includes round fencing and roundwood exports.</t>
  </si>
  <si>
    <t>[17]</t>
  </si>
  <si>
    <t>Categories are based on total sawnwood production (softwood and hardwood), in thousand m3</t>
  </si>
  <si>
    <t>[18]</t>
  </si>
  <si>
    <t>Sawmills producing at least 25 thousand cubic meters sawnwood (softwood and hardwood).</t>
  </si>
  <si>
    <t>[19]</t>
  </si>
  <si>
    <t>Total includes sales of firewood and other products disposed of as waste.</t>
  </si>
  <si>
    <t>[20]</t>
  </si>
  <si>
    <t>'Others' refers to others undertaking work for the sawmill, including contractors and their employees.</t>
  </si>
  <si>
    <t>[21]</t>
  </si>
  <si>
    <t>The results exclude any employment on harvesting, and any employment at the site not directly related to the sawmill (e.g., exclude work producing pallets or other wood products from sawn wood).</t>
  </si>
  <si>
    <t>[22]</t>
  </si>
  <si>
    <t>Excludes haulage employment on contract.</t>
  </si>
  <si>
    <t>[23]</t>
  </si>
  <si>
    <t>x denotes data not available</t>
  </si>
  <si>
    <t>[24]</t>
  </si>
  <si>
    <t>Excludes inputs of recycled paper and cardboard. All inputs are softwood.</t>
  </si>
  <si>
    <t>[25]</t>
  </si>
  <si>
    <t>UK roundwood derived from stemwood.</t>
  </si>
  <si>
    <t>[26]</t>
  </si>
  <si>
    <t>Imports include roundwood, wood products and products from imported wood.</t>
  </si>
  <si>
    <t>[27]</t>
  </si>
  <si>
    <t>Recycled wood fibre is wood fibre recovered from both pre- and post-consumer wood waste for use in woodbased panel production. It comprises wood originally grown in the UK and wood originally grown in forests outside the UK.</t>
  </si>
  <si>
    <t>[28]</t>
  </si>
  <si>
    <t>Quantities are as delivered, with an assumed average moisture content of 52%. To convert to green tonnes (assuming moisture content of 52%), multiply by 1.56.</t>
  </si>
  <si>
    <t>[29]</t>
  </si>
  <si>
    <t>Recycled wood fibre data not available before 1999.</t>
  </si>
  <si>
    <t>[30]</t>
  </si>
  <si>
    <t>Includes Oriented Strand Board (OSB).</t>
  </si>
  <si>
    <t>[31]</t>
  </si>
  <si>
    <t>Includes Medium Density Fibreboard (MDF).</t>
  </si>
  <si>
    <t>[32]</t>
  </si>
  <si>
    <t>Changes in the mix of materials used and type of product produced can result in apparent discrepancies between the trends for inputs (Table 2.22) and production.</t>
  </si>
  <si>
    <t>[33]</t>
  </si>
  <si>
    <t>Categories are based on total softwood consumption, in thousand green tonnes.</t>
  </si>
  <si>
    <t>[34]</t>
  </si>
  <si>
    <t>This table includes purchases of both UK grown and imported sawnwood, whereas Table 2.24 relates to UK grown softwood only.</t>
  </si>
  <si>
    <t>[35]</t>
  </si>
  <si>
    <t>Includes all roundwood other than sawlogs.</t>
  </si>
  <si>
    <t>[36]</t>
  </si>
  <si>
    <t>Includes all removals from FE/FLS/NRW/FS woodland.</t>
  </si>
  <si>
    <t>[37]</t>
  </si>
  <si>
    <t>These figures are currently experimental statistics.</t>
  </si>
  <si>
    <t>[38]</t>
  </si>
  <si>
    <t>Includes non-respondents to survey in current year.</t>
  </si>
  <si>
    <t>[39]</t>
  </si>
  <si>
    <t>For large sawmills (those producing at least 25 thousand cubic meters) that did not report whether or not they held a certificate or did not respond to the 2021 survey, the certification status was obtained from the FSC database, where possible.</t>
  </si>
  <si>
    <t>[40]</t>
  </si>
  <si>
    <t>Post consumer recovered wood, comprising wood originally grown in the UK and wood originally grown in forests outside the UK.</t>
  </si>
  <si>
    <t>[41]</t>
  </si>
  <si>
    <t>Figures from 2014 relate to capacity, rather than consumption.</t>
  </si>
  <si>
    <t>[42]</t>
  </si>
  <si>
    <t>Material reported as sales/use for woodfuel, but may have been used for other purposes.</t>
  </si>
  <si>
    <t>[43]</t>
  </si>
  <si>
    <t>May also include wood from other sources (e.g., energy crops, arboriculture arisings and recycled wood).</t>
  </si>
  <si>
    <t>[44]</t>
  </si>
  <si>
    <t>Tonnes as delivered.</t>
  </si>
  <si>
    <t>[45]</t>
  </si>
  <si>
    <t>Figures relate to respondents only.</t>
  </si>
  <si>
    <t>Table 2.1a: Softwood production, UK, 2013 to 2022</t>
  </si>
  <si>
    <t>Source:  Forestry England, Forest and Land Scotland, Natural Resources Wales, Forest Service (Northern Ireland), Removals Survey</t>
  </si>
  <si>
    <t>This worksheet contains one table.</t>
  </si>
  <si>
    <t>Information: Units are in thousands of green tonnes</t>
  </si>
  <si>
    <t>Year</t>
  </si>
  <si>
    <t>FE/FLS/NRW/FS woodland [note 1]</t>
  </si>
  <si>
    <t>Private sector woodland [note 2]</t>
  </si>
  <si>
    <t>Total softwood</t>
  </si>
  <si>
    <t>Table 2.1b: Hardwood production, UK, 2013 to 2022</t>
  </si>
  <si>
    <t>Total hardwood [note 3, 4]</t>
  </si>
  <si>
    <t>Table 2.2: Private sector softwood removals by country, UK, 2013 to 2022</t>
  </si>
  <si>
    <t>Source: Private Sector Softwood Removals Survey</t>
  </si>
  <si>
    <t>Information. Units are in thousand green tonnes</t>
  </si>
  <si>
    <t>England</t>
  </si>
  <si>
    <t>Wales</t>
  </si>
  <si>
    <t>Scotland</t>
  </si>
  <si>
    <t>Northern Ireland</t>
  </si>
  <si>
    <t>UK</t>
  </si>
  <si>
    <t>Table 2.3: FE/FLS/NRW/FS softwood removals by country, UK, 2013 to 2022</t>
  </si>
  <si>
    <t>Source:  Forestry England, Forest and Land Scotland, Natural Resources Wales, Forest Service (Northern Ireland)</t>
  </si>
  <si>
    <t>Information: Units are in thousand green tonnes</t>
  </si>
  <si>
    <t>Northern 
Ireland</t>
  </si>
  <si>
    <t>Table 2.4a: 25-year forecast of softwood availability; average annual volumes within periods, UK [note 7]</t>
  </si>
  <si>
    <t>Source: National Forest Inventory: 25-year forecast of softwood availability (Forest Research, July 2022)</t>
  </si>
  <si>
    <t>Informations: Units are in thousand cubic metres overbark standing</t>
  </si>
  <si>
    <t>Annual average in the period</t>
  </si>
  <si>
    <t>Great Britain</t>
  </si>
  <si>
    <t>United Kingdom</t>
  </si>
  <si>
    <t>FE/FLS/NRW/FS [note 5]</t>
  </si>
  <si>
    <t>2022 to 2026</t>
  </si>
  <si>
    <t>2027 to 2031</t>
  </si>
  <si>
    <t>2032 to 2036</t>
  </si>
  <si>
    <t>2037 to 2041</t>
  </si>
  <si>
    <t>2042 to 2046</t>
  </si>
  <si>
    <t>Private sector [note 6]</t>
  </si>
  <si>
    <t>Table 2.4b: Hardwood availability forecasts, UK [note 10]</t>
  </si>
  <si>
    <t>Source: National Forest Inventory: 50-year forecast of hardwood availability (Forestry Research)</t>
  </si>
  <si>
    <t>Great Britian</t>
  </si>
  <si>
    <t>FE/FLS/NRW [note 8]</t>
  </si>
  <si>
    <t>2013 to 2016</t>
  </si>
  <si>
    <t>2017 to 2021</t>
  </si>
  <si>
    <t>2047 to 2051</t>
  </si>
  <si>
    <t>2052 to 2056</t>
  </si>
  <si>
    <t>2057 to 2061</t>
  </si>
  <si>
    <t>Private sector [note 9]</t>
  </si>
  <si>
    <t>Total hardwood</t>
  </si>
  <si>
    <t>Table 2.5: Deliveries of UK-grown softwood, UK, 2013 to 2022</t>
  </si>
  <si>
    <t>Source: industry surveys, industry associations.</t>
  </si>
  <si>
    <t>Information: Units are thousand green tonnes</t>
  </si>
  <si>
    <t>Sawmills</t>
  </si>
  <si>
    <t>Pulp mills</t>
  </si>
  <si>
    <t>Wood-based panels</t>
  </si>
  <si>
    <t>Fencing</t>
  </si>
  <si>
    <t>Woodfuel [note 11]</t>
  </si>
  <si>
    <t>Other [note 12]</t>
  </si>
  <si>
    <t>Exports</t>
  </si>
  <si>
    <t>Total</t>
  </si>
  <si>
    <t>Data for Figure 2.1: Deliveries of UK-grown softwood, UK, 1994 to 2022</t>
  </si>
  <si>
    <t>Pulpmills</t>
  </si>
  <si>
    <t>Other (incl. exports) [note 12]</t>
  </si>
  <si>
    <t>Table 2.6: Deliveries of UK-grown hardwood, UK, 2013 to 2022</t>
  </si>
  <si>
    <t>Woodfuel [note 14]</t>
  </si>
  <si>
    <t>Other [note 15]</t>
  </si>
  <si>
    <t>Note</t>
  </si>
  <si>
    <t>[note 15]</t>
  </si>
  <si>
    <t>Data for Figure 2.2: Deliveries of UK-grown hardwood, UK, 1994 to 2022</t>
  </si>
  <si>
    <t>Source:  industry surveys, industry associations.</t>
  </si>
  <si>
    <t>Woodbased panels</t>
  </si>
  <si>
    <t>Woodfuel</t>
  </si>
  <si>
    <t>Other [note 16]</t>
  </si>
  <si>
    <t>[note 16]</t>
  </si>
  <si>
    <t>Table 2.7a: Consumption by sawmills, UK, 2013 to 2022</t>
  </si>
  <si>
    <t>Source: Sawmill Survey</t>
  </si>
  <si>
    <t>UK-grown softwood</t>
  </si>
  <si>
    <t>Imported softwood</t>
  </si>
  <si>
    <t>UK-grown hardwood</t>
  </si>
  <si>
    <t>Imported hardwood</t>
  </si>
  <si>
    <t>Table 2.7b: Production by sawmills, UK, 2013 to 2022</t>
  </si>
  <si>
    <t>Information: Units are thousand cubic metres</t>
  </si>
  <si>
    <t>Softwood production</t>
  </si>
  <si>
    <t>Hardwood production</t>
  </si>
  <si>
    <t>Table 2.8: Number of sawmills by size category of mill, UK, 2013 to 2022 [note 17]</t>
  </si>
  <si>
    <t>This workbook contains one table.</t>
  </si>
  <si>
    <t>Information: Units are number of sawmills</t>
  </si>
  <si>
    <t>&lt; 1</t>
  </si>
  <si>
    <t>1 - &lt; 5</t>
  </si>
  <si>
    <t>5 - &lt; 10</t>
  </si>
  <si>
    <t>10 - &lt; 25</t>
  </si>
  <si>
    <t>25 - &lt; 50</t>
  </si>
  <si>
    <t>50 - &lt; 100</t>
  </si>
  <si>
    <t>100 +</t>
  </si>
  <si>
    <t>Table 2.9: Number of sawmills by country, UK, 2013 to 2022</t>
  </si>
  <si>
    <t>Table 2.10: Number of sawmills by type of wood sawn, UK, 2013 to 2022</t>
  </si>
  <si>
    <t>Softwood only</t>
  </si>
  <si>
    <t>Hardwood only</t>
  </si>
  <si>
    <t>Both</t>
  </si>
  <si>
    <t>Table 2.11: Consumption of softwood by size category of mill, UK, 2013 to 2022</t>
  </si>
  <si>
    <t>Table 2.12: Consumption of softwood by country, UK, 2013 to 2022</t>
  </si>
  <si>
    <t>Table 2.13: Production of sawn softwood by size category of mill, UK, 2013 to 2022 [note 17]</t>
  </si>
  <si>
    <t>Table 2.14: Production of sawn softwood by country, UK, 2013 to 2022</t>
  </si>
  <si>
    <t>Table 2.15: Softwood consumption and production by larger mills, UK, 2022 [note 18]</t>
  </si>
  <si>
    <t>Source: Sawmill Survey (detailed)</t>
  </si>
  <si>
    <t>Information: Units are as indicated</t>
  </si>
  <si>
    <t>Metric</t>
  </si>
  <si>
    <t xml:space="preserve">Wales </t>
  </si>
  <si>
    <t xml:space="preserve">Scotland </t>
  </si>
  <si>
    <t>Number of mills</t>
  </si>
  <si>
    <t>Consumption (thousand green tonnes)</t>
  </si>
  <si>
    <r>
      <rPr>
        <sz val="12"/>
        <color rgb="FF000000"/>
        <rFont val="Arial"/>
      </rPr>
      <t>Sawnwood production (thousand m</t>
    </r>
    <r>
      <rPr>
        <vertAlign val="superscript"/>
        <sz val="12"/>
        <color rgb="FF000000"/>
        <rFont val="Arial"/>
        <family val="2"/>
        <charset val="1"/>
        <scheme val="minor"/>
      </rPr>
      <t>3</t>
    </r>
    <r>
      <rPr>
        <sz val="12"/>
        <color rgb="FF000000"/>
        <rFont val="Arial"/>
      </rPr>
      <t>)</t>
    </r>
  </si>
  <si>
    <t>Other products (thousand tonnes)</t>
  </si>
  <si>
    <t>Table 2.16a: Source of softwood logs for larger mills, UK, 2022</t>
  </si>
  <si>
    <t>Source</t>
  </si>
  <si>
    <t>Total UK logs</t>
  </si>
  <si>
    <t>Other countries</t>
  </si>
  <si>
    <t>Total log consumption</t>
  </si>
  <si>
    <t>Table 2.16b: Source of softwood logs for larger mills, UK, 2018 to 2022</t>
  </si>
  <si>
    <t>Information: Units are per cent of total softwood consumption</t>
  </si>
  <si>
    <t>Table 2.17a: Sawn softwood product markets for larger mills, UK, 2022</t>
  </si>
  <si>
    <t>Information: Units are percent of total softwood product markets</t>
  </si>
  <si>
    <t>Product market</t>
  </si>
  <si>
    <t>Construction</t>
  </si>
  <si>
    <t>Packaging/pallets</t>
  </si>
  <si>
    <t>Other</t>
  </si>
  <si>
    <t>Table 2.17b: Sawn softwood product markets for larger mills, UK, 2018 to 2022</t>
  </si>
  <si>
    <t>Information: Units are per cent of total softwood product markets</t>
  </si>
  <si>
    <t>Packaging / pallets</t>
  </si>
  <si>
    <t>Table 2.18a: Other softwood products for larger mills, UK, 2022</t>
  </si>
  <si>
    <t>Information: Units are per cent of total other softwood products</t>
  </si>
  <si>
    <t>Destination and type of product</t>
  </si>
  <si>
    <t>Sold to wood processing industries</t>
  </si>
  <si>
    <t>Wood chips</t>
  </si>
  <si>
    <t>Bark</t>
  </si>
  <si>
    <t>Sawdust &amp; other</t>
  </si>
  <si>
    <t>Sold to bio-energy</t>
  </si>
  <si>
    <t>Other Sales</t>
  </si>
  <si>
    <t>Internal use for heat/energy</t>
  </si>
  <si>
    <t>Table 2.18b: Other softwood products for larger mills, UK, 2018 to 2022</t>
  </si>
  <si>
    <t>Sold to bio-energy (incl pellet manufacturers)</t>
  </si>
  <si>
    <t>Other sales</t>
  </si>
  <si>
    <t>Total [note 20]</t>
  </si>
  <si>
    <t>Table 2.19a: Sawmill employment for larger mills, UK, 2022 [note 21]</t>
  </si>
  <si>
    <t>Information: Units are full time equivalents</t>
  </si>
  <si>
    <t>Employment</t>
  </si>
  <si>
    <t>Direct</t>
  </si>
  <si>
    <t>Line &amp; production workers</t>
  </si>
  <si>
    <t>Managerial &amp; administrative staff</t>
  </si>
  <si>
    <t>Haulage of logs to the mill</t>
  </si>
  <si>
    <t>Others [note 20]</t>
  </si>
  <si>
    <t>Table 2.19b: Sawmill employment for larger mills, UK, 2018 to 2022 [note 18, 21]</t>
  </si>
  <si>
    <t>Information: Units are full time equivalents. [x]: data not available.</t>
  </si>
  <si>
    <t>Haulage of logs to the mill [note 22]</t>
  </si>
  <si>
    <t>Total employment</t>
  </si>
  <si>
    <t>Others</t>
  </si>
  <si>
    <t>[x]</t>
  </si>
  <si>
    <t>[note 23]</t>
  </si>
  <si>
    <t>Table 2.20: Inputs for the integrated pulp &amp; paper mills, UK, 2013 to 2022 [note 24]</t>
  </si>
  <si>
    <t>Source: Confor</t>
  </si>
  <si>
    <t>UK roundwood [note 25]</t>
  </si>
  <si>
    <t>Sawmill products</t>
  </si>
  <si>
    <t>Data for Figure 2.3: Inputs to integrated pulp &amp; paper mills, UK, 1994 to 2022</t>
  </si>
  <si>
    <t>UK roundwood</t>
  </si>
  <si>
    <t>Imports</t>
  </si>
  <si>
    <t>Table 2.21: Production of paper and paperboard, UK, 2013 to 2022</t>
  </si>
  <si>
    <t>Source: Confederation of Paper Industries</t>
  </si>
  <si>
    <t>Information: Units are thousand tonnes</t>
  </si>
  <si>
    <t>Sanitary &amp; household papers</t>
  </si>
  <si>
    <t>Packaging materials</t>
  </si>
  <si>
    <t>Other (including graphic papers)</t>
  </si>
  <si>
    <t>Total paper &amp; paperboard</t>
  </si>
  <si>
    <t>Table 2.22: Inputs to woodbased panel mills, UK, 2013 to 2022</t>
  </si>
  <si>
    <t>Source: Wood Panel Industries Federation</t>
  </si>
  <si>
    <t>UK roundwood softwood [note 25]</t>
  </si>
  <si>
    <t>UK roundwood hardwood [note 25]</t>
  </si>
  <si>
    <t>Imports softwood [note 26]</t>
  </si>
  <si>
    <t>Imports hardwood [note 26]</t>
  </si>
  <si>
    <t>Recycled wood fibre [note 27, 28]</t>
  </si>
  <si>
    <t>Data for Figure 2.4: Inputs to woodbased panel mills, UK, 1994 to 2022</t>
  </si>
  <si>
    <t>Information: Units are thousand green tonnes. [x]: data not available</t>
  </si>
  <si>
    <t>Recycled wood fibre [note 29]</t>
  </si>
  <si>
    <t>Table 2.23: Wood-based panel production, UK, 2013 to 2022</t>
  </si>
  <si>
    <t>Particleboard [note 30]</t>
  </si>
  <si>
    <t>Fibreboard [note 31]</t>
  </si>
  <si>
    <t>Table 2.24: Miscellaneous uses of UK softwood roundwood, UK, 2013 to 2022</t>
  </si>
  <si>
    <t>Source: Survey of Round Fencing Manufacturers, industry associations</t>
  </si>
  <si>
    <t>Table 2.25: Number of softwood round fencing manufacturers by size category, UK, 2013 to 2022 [note 33]</t>
  </si>
  <si>
    <t>Source: Survey of Round Fencing Manufacturers</t>
  </si>
  <si>
    <t>Information: Units are number of round fencing manufacturers</t>
  </si>
  <si>
    <t>10 +</t>
  </si>
  <si>
    <t>Table 2.26: Total roundwood purchased by softwood round fencing manufacturers, by size category, UK, 2013 to 2022 [note 33, 34]</t>
  </si>
  <si>
    <t>Table 2.27: Summary of softwood exports, UK, 2013 to 2022</t>
  </si>
  <si>
    <t>Source: industry associations</t>
  </si>
  <si>
    <t>Industrial roundwood [note 35]</t>
  </si>
  <si>
    <t>Roundwood sawlogs</t>
  </si>
  <si>
    <t>Total roundwood</t>
  </si>
  <si>
    <t>Chips</t>
  </si>
  <si>
    <t>Table 2.28a: Per cent of volume certified, UK, 2013 to 2022</t>
  </si>
  <si>
    <t>Source: industry surveys</t>
  </si>
  <si>
    <t>Information: Units are per cent volume certified</t>
  </si>
  <si>
    <t>Softwood removals from private sector woodland</t>
  </si>
  <si>
    <t>Total softwood removals [note 36]</t>
  </si>
  <si>
    <t>Consumption (softwood and hardwood) by sawmills</t>
  </si>
  <si>
    <t>Consumption (softwood) by round fencing manufacturers</t>
  </si>
  <si>
    <t>Table 2.28b Percentage of certified softwood removals by country, UK, 2022</t>
  </si>
  <si>
    <t>Source: Forestry England, Forestry and Land Scotland, Natural Resources Wales, Forest Service (Northern Ireland), Removals Survey</t>
  </si>
  <si>
    <t>Information: Units are per cent certified volume</t>
  </si>
  <si>
    <t>Country</t>
  </si>
  <si>
    <t>Table 2.29: Chain of custody certificates, UK, 2022</t>
  </si>
  <si>
    <t>Information: Units are number of mills</t>
  </si>
  <si>
    <t>Processors</t>
  </si>
  <si>
    <t>Mills holding certificate</t>
  </si>
  <si>
    <t>Mills without certificate</t>
  </si>
  <si>
    <t>Certification status not known [note 38]</t>
  </si>
  <si>
    <t>Total [note 38]</t>
  </si>
  <si>
    <t>Sawmills [note 39]</t>
  </si>
  <si>
    <t>&lt; 5 [note 17]</t>
  </si>
  <si>
    <t>5 - &lt; 25 [note 17]</t>
  </si>
  <si>
    <t>25 + [note 17]</t>
  </si>
  <si>
    <t>Round fencing manufacturers</t>
  </si>
  <si>
    <t>Table 2.30: Recycled wood used for woodfuel, UK, 2013 to 2022 [note 40]</t>
  </si>
  <si>
    <t>Source: Wood Recyclers Association</t>
  </si>
  <si>
    <t>Information: Units are million tonnes</t>
  </si>
  <si>
    <t xml:space="preserve">Note </t>
  </si>
  <si>
    <t>[note 41]</t>
  </si>
  <si>
    <t>Table 2.31: Woodfuel supply by sawmills and round fencing manufacturers, UK, 2018 to 2022 [note 42]</t>
  </si>
  <si>
    <t>Source: Sawmill Survey; Survey of Round Fencing Manufacturers</t>
  </si>
  <si>
    <t>Processor</t>
  </si>
  <si>
    <t>2018</t>
  </si>
  <si>
    <t>2019</t>
  </si>
  <si>
    <t>2020</t>
  </si>
  <si>
    <t>2021</t>
  </si>
  <si>
    <t>2022</t>
  </si>
  <si>
    <t>Sales to bioenergy</t>
  </si>
  <si>
    <t>Sales to firewood</t>
  </si>
  <si>
    <t>Used internally for heat/energy</t>
  </si>
  <si>
    <t>Table 2.32: Wood pellet production, UK, 2013 to 2022</t>
  </si>
  <si>
    <t>Source: Survey of UK Pellet and Briquette Production</t>
  </si>
  <si>
    <t>Table 2.33: Wood pellet feedstock, UK, 2018 to 2022 [note 44]</t>
  </si>
  <si>
    <t>Roundwood</t>
  </si>
  <si>
    <t>Sawmill products [note 45]</t>
  </si>
  <si>
    <t>Table 2.34: Preservative treatment of sawnwood and round fencing produced, UK, 2021 to 2022 [note 37, 45]</t>
  </si>
  <si>
    <t>Source: Sawmill Survey, Survey of Round Fencing Manufacturers</t>
  </si>
  <si>
    <t>Information: Units are percentages</t>
  </si>
  <si>
    <t>Preservative treated</t>
  </si>
  <si>
    <t>Sawnwood</t>
  </si>
  <si>
    <t>…of which suitable for Ground Contact</t>
  </si>
  <si>
    <t>Round fencing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</si>
</sst>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rial"/>
      <family val="2"/>
      <scheme val="minor"/>
    </font>
    <font>
      <sz val="11"/>
      <color theme="1"/>
      <name val="Arial"/>
      <family val="2"/>
      <scheme val="minor"/>
    </font>
    <font>
      <sz val="18"/>
      <color theme="3"/>
      <name val="Arial"/>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b/>
      <sz val="12"/>
      <color rgb="FF000000"/>
      <name val="Arial"/>
      <family val="2"/>
      <charset val="1"/>
      <scheme val="minor"/>
    </font>
    <font>
      <sz val="12"/>
      <color rgb="FF000000"/>
      <name val="Arial"/>
    </font>
    <font>
      <vertAlign val="superscript"/>
      <sz val="12"/>
      <color rgb="FF000000"/>
      <name val="Arial"/>
      <family val="2"/>
      <charset val="1"/>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8</xdr:col>
      <xdr:colOff>38160</xdr:colOff>
      <xdr:row>0</xdr:row>
      <xdr:rowOff>0</xdr:rowOff>
    </xdr:from>
    <xdr:to>
      <xdr:col>12</xdr:col>
      <xdr:colOff>28440</xdr:colOff>
      <xdr:row>2</xdr:row>
      <xdr:rowOff>104760</xdr:rowOff>
    </xdr:to>
    <xdr:pic>
      <xdr:nvPicPr>
        <xdr:cNvPr id="2" name="Picture 4">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4762440" y="0"/>
          <a:ext cx="2352600" cy="485640"/>
        </a:xfrm>
        <a:prstGeom prst="rect">
          <a:avLst/>
        </a:prstGeom>
        <a:ln w="12600">
          <a:noFill/>
        </a:ln>
      </xdr:spPr>
    </xdr:pic>
    <xdr:clientData/>
  </xdr:twoCellAnchor>
  <xdr:twoCellAnchor editAs="oneCell">
    <xdr:from>
      <xdr:col>12</xdr:col>
      <xdr:colOff>293040</xdr:colOff>
      <xdr:row>0</xdr:row>
      <xdr:rowOff>171360</xdr:rowOff>
    </xdr:from>
    <xdr:to>
      <xdr:col>14</xdr:col>
      <xdr:colOff>85680</xdr:colOff>
      <xdr:row>5</xdr:row>
      <xdr:rowOff>117000</xdr:rowOff>
    </xdr:to>
    <xdr:pic>
      <xdr:nvPicPr>
        <xdr:cNvPr id="3" name="Picture 6">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xdr:blipFill>
      <xdr:spPr>
        <a:xfrm>
          <a:off x="7379640" y="171360"/>
          <a:ext cx="973800" cy="971640"/>
        </a:xfrm>
        <a:prstGeom prst="rect">
          <a:avLst/>
        </a:prstGeom>
        <a:ln w="12600">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5:D15" totalsRowShown="0">
  <tableColumns count="4">
    <tableColumn id="1" xr3:uid="{00000000-0010-0000-0000-000001000000}" name="Year"/>
    <tableColumn id="2" xr3:uid="{00000000-0010-0000-0000-000002000000}" name="FE/FLS/NRW/FS woodland [note 1]"/>
    <tableColumn id="3" xr3:uid="{00000000-0010-0000-0000-000003000000}" name="Private sector woodland [note 2]"/>
    <tableColumn id="4" xr3:uid="{00000000-0010-0000-0000-000004000000}" name="Total softwood"/>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1000000}" name="Table2" displayName="Table2" ref="A5:D15" totalsRowShown="0">
  <tableColumns count="4">
    <tableColumn id="1" xr3:uid="{00000000-0010-0000-0100-000001000000}" name="Year"/>
    <tableColumn id="2" xr3:uid="{00000000-0010-0000-0100-000002000000}" name="FE/FLS/NRW/FS woodland [note 1]"/>
    <tableColumn id="3" xr3:uid="{00000000-0010-0000-0100-000003000000}" name="Private sector woodland [note 2]"/>
    <tableColumn id="4" xr3:uid="{00000000-0010-0000-0100-000004000000}" name="Total hardwood [note 3, 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02000000}" name="Table4" displayName="Table4" ref="A5:F15" totalsRowShown="0">
  <tableColumns count="6">
    <tableColumn id="1" xr3:uid="{00000000-0010-0000-0200-000001000000}" name="Year"/>
    <tableColumn id="2" xr3:uid="{00000000-0010-0000-0200-000002000000}" name="England"/>
    <tableColumn id="3" xr3:uid="{00000000-0010-0000-0200-000003000000}" name="Wales"/>
    <tableColumn id="4" xr3:uid="{00000000-0010-0000-0200-000004000000}" name="Scotland"/>
    <tableColumn id="5" xr3:uid="{00000000-0010-0000-0200-000005000000}" name="Northern Ireland"/>
    <tableColumn id="6" xr3:uid="{00000000-0010-0000-0200-000006000000}" name="UK"/>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03000000}" name="Table5" displayName="Table5" ref="A5:F15" totalsRowShown="0">
  <tableColumns count="6">
    <tableColumn id="1" xr3:uid="{00000000-0010-0000-0300-000001000000}" name="Year"/>
    <tableColumn id="2" xr3:uid="{00000000-0010-0000-0300-000002000000}" name="England"/>
    <tableColumn id="3" xr3:uid="{00000000-0010-0000-0300-000003000000}" name="Wales"/>
    <tableColumn id="4" xr3:uid="{00000000-0010-0000-0300-000004000000}" name="Scotland"/>
    <tableColumn id="5" xr3:uid="{00000000-0010-0000-0300-000005000000}" name="Northern _x000a_Ireland"/>
    <tableColumn id="6" xr3:uid="{00000000-0010-0000-0300-000006000000}" name="UK"/>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04000000}" name="Table7" displayName="Table7" ref="A5:G23" totalsRowShown="0">
  <tableColumns count="7">
    <tableColumn id="1" xr3:uid="{00000000-0010-0000-0400-000001000000}" name="Annual average in the period"/>
    <tableColumn id="2" xr3:uid="{00000000-0010-0000-0400-000002000000}" name="England"/>
    <tableColumn id="3" xr3:uid="{00000000-0010-0000-0400-000003000000}" name="Wales"/>
    <tableColumn id="4" xr3:uid="{00000000-0010-0000-0400-000004000000}" name="Scotland"/>
    <tableColumn id="5" xr3:uid="{00000000-0010-0000-0400-000005000000}" name="Great Britain"/>
    <tableColumn id="6" xr3:uid="{00000000-0010-0000-0400-000006000000}" name="Northern Ireland"/>
    <tableColumn id="7" xr3:uid="{00000000-0010-0000-0400-000007000000}" name="United Kingdom"/>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05000000}" name="Table8" displayName="Table8" ref="A5:E38" totalsRowShown="0">
  <tableColumns count="5">
    <tableColumn id="1" xr3:uid="{00000000-0010-0000-0500-000001000000}" name="Annual average in the period"/>
    <tableColumn id="2" xr3:uid="{00000000-0010-0000-0500-000002000000}" name="England"/>
    <tableColumn id="3" xr3:uid="{00000000-0010-0000-0500-000003000000}" name="Wales"/>
    <tableColumn id="4" xr3:uid="{00000000-0010-0000-0500-000004000000}" name="Scotland"/>
    <tableColumn id="5" xr3:uid="{00000000-0010-0000-0500-000005000000}" name="Great Britian"/>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06000000}" name="Table9" displayName="Table9" ref="A5:I15" totalsRowShown="0">
  <tableColumns count="9">
    <tableColumn id="1" xr3:uid="{00000000-0010-0000-0600-000001000000}" name="Year"/>
    <tableColumn id="2" xr3:uid="{00000000-0010-0000-0600-000002000000}" name="Sawmills"/>
    <tableColumn id="3" xr3:uid="{00000000-0010-0000-0600-000003000000}" name="Pulp mills"/>
    <tableColumn id="4" xr3:uid="{00000000-0010-0000-0600-000004000000}" name="Wood-based panels"/>
    <tableColumn id="5" xr3:uid="{00000000-0010-0000-0600-000005000000}" name="Fencing"/>
    <tableColumn id="6" xr3:uid="{00000000-0010-0000-0600-000006000000}" name="Woodfuel [note 11]"/>
    <tableColumn id="7" xr3:uid="{00000000-0010-0000-0600-000007000000}" name="Other [note 12]"/>
    <tableColumn id="8" xr3:uid="{00000000-0010-0000-0600-000008000000}" name="Exports"/>
    <tableColumn id="9" xr3:uid="{00000000-0010-0000-0600-000009000000}" name="Total"/>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7000000}" name="Table10" displayName="Table10" ref="A5:H34" totalsRowShown="0">
  <tableColumns count="8">
    <tableColumn id="1" xr3:uid="{00000000-0010-0000-0700-000001000000}" name="Year"/>
    <tableColumn id="2" xr3:uid="{00000000-0010-0000-0700-000002000000}" name="Sawmills"/>
    <tableColumn id="3" xr3:uid="{00000000-0010-0000-0700-000003000000}" name="Pulpmills"/>
    <tableColumn id="4" xr3:uid="{00000000-0010-0000-0700-000004000000}" name="Wood-based panels"/>
    <tableColumn id="5" xr3:uid="{00000000-0010-0000-0700-000005000000}" name="Fencing"/>
    <tableColumn id="6" xr3:uid="{00000000-0010-0000-0700-000006000000}" name="Woodfuel [note 11]"/>
    <tableColumn id="7" xr3:uid="{00000000-0010-0000-0700-000007000000}" name="Other (incl. exports) [note 12]"/>
    <tableColumn id="8" xr3:uid="{00000000-0010-0000-0700-000008000000}" name="Total"/>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8000000}" name="Table11" displayName="Table11" ref="A5:H15" totalsRowShown="0">
  <tableColumns count="8">
    <tableColumn id="1" xr3:uid="{00000000-0010-0000-0800-000001000000}" name="Year"/>
    <tableColumn id="2" xr3:uid="{00000000-0010-0000-0800-000002000000}" name="Sawmills"/>
    <tableColumn id="3" xr3:uid="{00000000-0010-0000-0800-000003000000}" name="Pulp mills"/>
    <tableColumn id="4" xr3:uid="{00000000-0010-0000-0800-000004000000}" name="Wood-based panels"/>
    <tableColumn id="5" xr3:uid="{00000000-0010-0000-0800-000005000000}" name="Woodfuel [note 14]"/>
    <tableColumn id="6" xr3:uid="{00000000-0010-0000-0800-000006000000}" name="Other [note 15]"/>
    <tableColumn id="7" xr3:uid="{00000000-0010-0000-0800-000007000000}" name="Total"/>
    <tableColumn id="8" xr3:uid="{00000000-0010-0000-0800-000008000000}" name="Note"/>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9000000}" name="Table12" displayName="Table12" ref="A5:H34" totalsRowShown="0">
  <tableColumns count="8">
    <tableColumn id="1" xr3:uid="{00000000-0010-0000-0900-000001000000}" name="Year"/>
    <tableColumn id="2" xr3:uid="{00000000-0010-0000-0900-000002000000}" name="Sawmills"/>
    <tableColumn id="3" xr3:uid="{00000000-0010-0000-0900-000003000000}" name="Pulpmills"/>
    <tableColumn id="4" xr3:uid="{00000000-0010-0000-0900-000004000000}" name="Woodbased panels"/>
    <tableColumn id="5" xr3:uid="{00000000-0010-0000-0900-000005000000}" name="Woodfuel"/>
    <tableColumn id="6" xr3:uid="{00000000-0010-0000-0900-000006000000}" name="Other [note 16]"/>
    <tableColumn id="7" xr3:uid="{00000000-0010-0000-0900-000007000000}" name="Total"/>
    <tableColumn id="8" xr3:uid="{00000000-0010-0000-0900-000008000000}" name="Note"/>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A000000}" name="Table13" displayName="Table13" ref="A5:G15" totalsRowShown="0">
  <tableColumns count="7">
    <tableColumn id="1" xr3:uid="{00000000-0010-0000-0A00-000001000000}" name="Year"/>
    <tableColumn id="2" xr3:uid="{00000000-0010-0000-0A00-000002000000}" name="UK-grown softwood"/>
    <tableColumn id="3" xr3:uid="{00000000-0010-0000-0A00-000003000000}" name="Imported softwood"/>
    <tableColumn id="4" xr3:uid="{00000000-0010-0000-0A00-000004000000}" name="Total softwood"/>
    <tableColumn id="5" xr3:uid="{00000000-0010-0000-0A00-000005000000}" name="UK-grown hardwood"/>
    <tableColumn id="6" xr3:uid="{00000000-0010-0000-0A00-000006000000}" name="Imported hardwood"/>
    <tableColumn id="7" xr3:uid="{00000000-0010-0000-0A00-000007000000}" name="Total hardwood"/>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B000000}" name="Table14" displayName="Table14" ref="A5:C15" totalsRowShown="0">
  <tableColumns count="3">
    <tableColumn id="1" xr3:uid="{00000000-0010-0000-0B00-000001000000}" name="Year"/>
    <tableColumn id="2" xr3:uid="{00000000-0010-0000-0B00-000002000000}" name="Softwood production"/>
    <tableColumn id="3" xr3:uid="{00000000-0010-0000-0B00-000003000000}" name="Hardwood production"/>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C000000}" name="Table15" displayName="Table15" ref="A5:I15" totalsRowShown="0">
  <tableColumns count="9">
    <tableColumn id="1" xr3:uid="{00000000-0010-0000-0C00-000001000000}" name="Year"/>
    <tableColumn id="2" xr3:uid="{00000000-0010-0000-0C00-000002000000}" name="&lt; 1"/>
    <tableColumn id="3" xr3:uid="{00000000-0010-0000-0C00-000003000000}" name="1 - &lt; 5"/>
    <tableColumn id="4" xr3:uid="{00000000-0010-0000-0C00-000004000000}" name="5 - &lt; 10"/>
    <tableColumn id="5" xr3:uid="{00000000-0010-0000-0C00-000005000000}" name="10 - &lt; 25"/>
    <tableColumn id="6" xr3:uid="{00000000-0010-0000-0C00-000006000000}" name="25 - &lt; 50"/>
    <tableColumn id="7" xr3:uid="{00000000-0010-0000-0C00-000007000000}" name="50 - &lt; 100"/>
    <tableColumn id="8" xr3:uid="{00000000-0010-0000-0C00-000008000000}" name="100 +"/>
    <tableColumn id="9" xr3:uid="{00000000-0010-0000-0C00-000009000000}" name="Total"/>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D000000}" name="Table16" displayName="Table16" ref="A5:F15" totalsRowShown="0">
  <tableColumns count="6">
    <tableColumn id="1" xr3:uid="{00000000-0010-0000-0D00-000001000000}" name="Year"/>
    <tableColumn id="2" xr3:uid="{00000000-0010-0000-0D00-000002000000}" name="England"/>
    <tableColumn id="3" xr3:uid="{00000000-0010-0000-0D00-000003000000}" name="Wales"/>
    <tableColumn id="4" xr3:uid="{00000000-0010-0000-0D00-000004000000}" name="Scotland"/>
    <tableColumn id="5" xr3:uid="{00000000-0010-0000-0D00-000005000000}" name="Northern Ireland"/>
    <tableColumn id="6" xr3:uid="{00000000-0010-0000-0D00-000006000000}" name="UK"/>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E000000}" name="Table17" displayName="Table17" ref="A5:E15" totalsRowShown="0">
  <tableColumns count="5">
    <tableColumn id="1" xr3:uid="{00000000-0010-0000-0E00-000001000000}" name="Year"/>
    <tableColumn id="2" xr3:uid="{00000000-0010-0000-0E00-000002000000}" name="Softwood only"/>
    <tableColumn id="3" xr3:uid="{00000000-0010-0000-0E00-000003000000}" name="Hardwood only"/>
    <tableColumn id="4" xr3:uid="{00000000-0010-0000-0E00-000004000000}" name="Both"/>
    <tableColumn id="5" xr3:uid="{00000000-0010-0000-0E00-000005000000}" name="Total"/>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F000000}" name="Table18" displayName="Table18" ref="A5:I15" totalsRowShown="0">
  <tableColumns count="9">
    <tableColumn id="1" xr3:uid="{00000000-0010-0000-0F00-000001000000}" name="Year"/>
    <tableColumn id="2" xr3:uid="{00000000-0010-0000-0F00-000002000000}" name="&lt; 1"/>
    <tableColumn id="3" xr3:uid="{00000000-0010-0000-0F00-000003000000}" name="1 - &lt; 5"/>
    <tableColumn id="4" xr3:uid="{00000000-0010-0000-0F00-000004000000}" name="5 - &lt; 10"/>
    <tableColumn id="5" xr3:uid="{00000000-0010-0000-0F00-000005000000}" name="10 - &lt; 25"/>
    <tableColumn id="6" xr3:uid="{00000000-0010-0000-0F00-000006000000}" name="25 - &lt; 50"/>
    <tableColumn id="7" xr3:uid="{00000000-0010-0000-0F00-000007000000}" name="50 - &lt; 100"/>
    <tableColumn id="8" xr3:uid="{00000000-0010-0000-0F00-000008000000}" name="100 +"/>
    <tableColumn id="9" xr3:uid="{00000000-0010-0000-0F00-000009000000}" name="Total"/>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0000000}" name="Table20" displayName="Table20" ref="A5:F15" totalsRowShown="0">
  <tableColumns count="6">
    <tableColumn id="1" xr3:uid="{00000000-0010-0000-1000-000001000000}" name="Year"/>
    <tableColumn id="2" xr3:uid="{00000000-0010-0000-1000-000002000000}" name="England"/>
    <tableColumn id="3" xr3:uid="{00000000-0010-0000-1000-000003000000}" name="Wales"/>
    <tableColumn id="4" xr3:uid="{00000000-0010-0000-1000-000004000000}" name="Scotland"/>
    <tableColumn id="5" xr3:uid="{00000000-0010-0000-1000-000005000000}" name="Northern Ireland"/>
    <tableColumn id="6" xr3:uid="{00000000-0010-0000-1000-000006000000}" name="UK"/>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1000000}" name="Table21" displayName="Table21" ref="A5:I15" totalsRowShown="0">
  <tableColumns count="9">
    <tableColumn id="1" xr3:uid="{00000000-0010-0000-1100-000001000000}" name="Year"/>
    <tableColumn id="2" xr3:uid="{00000000-0010-0000-1100-000002000000}" name="&lt; 1"/>
    <tableColumn id="3" xr3:uid="{00000000-0010-0000-1100-000003000000}" name="1 - &lt; 5"/>
    <tableColumn id="4" xr3:uid="{00000000-0010-0000-1100-000004000000}" name="5 - &lt; 10"/>
    <tableColumn id="5" xr3:uid="{00000000-0010-0000-1100-000005000000}" name="10 - &lt; 25"/>
    <tableColumn id="6" xr3:uid="{00000000-0010-0000-1100-000006000000}" name="25 - &lt; 50"/>
    <tableColumn id="7" xr3:uid="{00000000-0010-0000-1100-000007000000}" name="50 - &lt; 100"/>
    <tableColumn id="8" xr3:uid="{00000000-0010-0000-1100-000008000000}" name="100 +"/>
    <tableColumn id="9" xr3:uid="{00000000-0010-0000-1100-000009000000}" name="Total"/>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2000000}" name="Table22" displayName="Table22" ref="A5:F15" totalsRowShown="0">
  <tableColumns count="6">
    <tableColumn id="1" xr3:uid="{00000000-0010-0000-1200-000001000000}" name="Year"/>
    <tableColumn id="2" xr3:uid="{00000000-0010-0000-1200-000002000000}" name="England"/>
    <tableColumn id="3" xr3:uid="{00000000-0010-0000-1200-000003000000}" name="Wales"/>
    <tableColumn id="4" xr3:uid="{00000000-0010-0000-1200-000004000000}" name="Scotland"/>
    <tableColumn id="5" xr3:uid="{00000000-0010-0000-1200-000005000000}" name="Northern Ireland"/>
    <tableColumn id="6" xr3:uid="{00000000-0010-0000-1200-000006000000}" name="UK"/>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13000000}" name="Table23" displayName="Table23" ref="A5:F9" totalsRowShown="0">
  <tableColumns count="6">
    <tableColumn id="1" xr3:uid="{00000000-0010-0000-1300-000001000000}" name="Metric"/>
    <tableColumn id="2" xr3:uid="{00000000-0010-0000-1300-000002000000}" name="England"/>
    <tableColumn id="3" xr3:uid="{00000000-0010-0000-1300-000003000000}" name="Wales "/>
    <tableColumn id="4" xr3:uid="{00000000-0010-0000-1300-000004000000}" name="Scotland "/>
    <tableColumn id="5" xr3:uid="{00000000-0010-0000-1300-000005000000}" name="Northern Ireland"/>
    <tableColumn id="6" xr3:uid="{00000000-0010-0000-1300-000006000000}" name="UK"/>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4000000}" name="Table24" displayName="Table24" ref="A5:F12" totalsRowShown="0">
  <tableColumns count="6">
    <tableColumn id="1" xr3:uid="{00000000-0010-0000-1400-000001000000}" name="Source"/>
    <tableColumn id="2" xr3:uid="{00000000-0010-0000-1400-000002000000}" name="England"/>
    <tableColumn id="3" xr3:uid="{00000000-0010-0000-1400-000003000000}" name="Wales "/>
    <tableColumn id="4" xr3:uid="{00000000-0010-0000-1400-000004000000}" name="Scotland "/>
    <tableColumn id="5" xr3:uid="{00000000-0010-0000-1400-000005000000}" name="Northern Ireland"/>
    <tableColumn id="6" xr3:uid="{00000000-0010-0000-1400-000006000000}" name="UK"/>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5000000}" name="Table25" displayName="Table25" ref="A5:G10" totalsRowShown="0">
  <tableColumns count="7">
    <tableColumn id="1" xr3:uid="{00000000-0010-0000-1500-000001000000}" name="Year"/>
    <tableColumn id="2" xr3:uid="{00000000-0010-0000-1500-000002000000}" name="England"/>
    <tableColumn id="3" xr3:uid="{00000000-0010-0000-1500-000003000000}" name="Wales "/>
    <tableColumn id="4" xr3:uid="{00000000-0010-0000-1500-000004000000}" name="Scotland "/>
    <tableColumn id="5" xr3:uid="{00000000-0010-0000-1500-000005000000}" name="Northern Ireland"/>
    <tableColumn id="6" xr3:uid="{00000000-0010-0000-1500-000006000000}" name="Other countries"/>
    <tableColumn id="7" xr3:uid="{00000000-0010-0000-1500-000007000000}" name="Total"/>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6000000}" name="Table26" displayName="Table26" ref="A5:F10" totalsRowShown="0">
  <tableColumns count="6">
    <tableColumn id="1" xr3:uid="{00000000-0010-0000-1600-000001000000}" name="Product market"/>
    <tableColumn id="2" xr3:uid="{00000000-0010-0000-1600-000002000000}" name="England"/>
    <tableColumn id="3" xr3:uid="{00000000-0010-0000-1600-000003000000}" name="Wales "/>
    <tableColumn id="4" xr3:uid="{00000000-0010-0000-1600-000004000000}" name="Scotland "/>
    <tableColumn id="5" xr3:uid="{00000000-0010-0000-1600-000005000000}" name="Northern Ireland"/>
    <tableColumn id="6" xr3:uid="{00000000-0010-0000-1600-000006000000}" name="UK"/>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7000000}" name="Table27" displayName="Table27" ref="A5:F10" totalsRowShown="0">
  <tableColumns count="6">
    <tableColumn id="1" xr3:uid="{00000000-0010-0000-1700-000001000000}" name="Year"/>
    <tableColumn id="2" xr3:uid="{00000000-0010-0000-1700-000002000000}" name="Construction"/>
    <tableColumn id="3" xr3:uid="{00000000-0010-0000-1700-000003000000}" name="Fencing"/>
    <tableColumn id="4" xr3:uid="{00000000-0010-0000-1700-000004000000}" name="Packaging / pallets"/>
    <tableColumn id="5" xr3:uid="{00000000-0010-0000-1700-000005000000}" name="Other"/>
    <tableColumn id="6" xr3:uid="{00000000-0010-0000-1700-000006000000}" name="Total"/>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8000000}" name="Table28" displayName="Table28" ref="A5:F21" totalsRowShown="0">
  <tableColumns count="6">
    <tableColumn id="1" xr3:uid="{00000000-0010-0000-1800-000001000000}" name="Destination and type of product"/>
    <tableColumn id="2" xr3:uid="{00000000-0010-0000-1800-000002000000}" name="England"/>
    <tableColumn id="3" xr3:uid="{00000000-0010-0000-1800-000003000000}" name="Wales "/>
    <tableColumn id="4" xr3:uid="{00000000-0010-0000-1800-000004000000}" name="Scotland "/>
    <tableColumn id="5" xr3:uid="{00000000-0010-0000-1800-000005000000}" name="Northern Ireland"/>
    <tableColumn id="6" xr3:uid="{00000000-0010-0000-1800-000006000000}" name="UK"/>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9000000}" name="Table29" displayName="Table29" ref="A5:F10" totalsRowShown="0">
  <tableColumns count="6">
    <tableColumn id="1" xr3:uid="{00000000-0010-0000-1900-000001000000}" name="Year"/>
    <tableColumn id="2" xr3:uid="{00000000-0010-0000-1900-000002000000}" name="Sold to wood processing industries"/>
    <tableColumn id="3" xr3:uid="{00000000-0010-0000-1900-000003000000}" name="Sold to bio-energy (incl pellet manufacturers)"/>
    <tableColumn id="4" xr3:uid="{00000000-0010-0000-1900-000004000000}" name="Other sales"/>
    <tableColumn id="5" xr3:uid="{00000000-0010-0000-1900-000005000000}" name="Internal use for heat/energy"/>
    <tableColumn id="6" xr3:uid="{00000000-0010-0000-1900-000006000000}" name="Total [note 20]"/>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A000000}" name="Table30" displayName="Table30" ref="A5:F12" totalsRowShown="0">
  <tableColumns count="6">
    <tableColumn id="1" xr3:uid="{00000000-0010-0000-1A00-000001000000}" name="Employment"/>
    <tableColumn id="2" xr3:uid="{00000000-0010-0000-1A00-000002000000}" name="England"/>
    <tableColumn id="3" xr3:uid="{00000000-0010-0000-1A00-000003000000}" name="Wales "/>
    <tableColumn id="4" xr3:uid="{00000000-0010-0000-1A00-000004000000}" name="Scotland "/>
    <tableColumn id="5" xr3:uid="{00000000-0010-0000-1A00-000005000000}" name="Northern Ireland"/>
    <tableColumn id="6" xr3:uid="{00000000-0010-0000-1A00-000006000000}" name="UK"/>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B000000}" name="Table31" displayName="Table31" ref="A5:F17" totalsRowShown="0">
  <tableColumns count="6">
    <tableColumn id="1" xr3:uid="{00000000-0010-0000-1B00-000001000000}" name="Employment"/>
    <tableColumn id="2" xr3:uid="{00000000-0010-0000-1B00-000002000000}" name="Line &amp; production workers"/>
    <tableColumn id="3" xr3:uid="{00000000-0010-0000-1B00-000003000000}" name="Managerial &amp; administrative staff"/>
    <tableColumn id="4" xr3:uid="{00000000-0010-0000-1B00-000004000000}" name="Haulage of logs to the mill [note 22]"/>
    <tableColumn id="5" xr3:uid="{00000000-0010-0000-1B00-000005000000}" name="Total employment"/>
    <tableColumn id="6" xr3:uid="{00000000-0010-0000-1B00-000006000000}" name="Note"/>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C000000}" name="Table32" displayName="Table32" ref="A5:D15" totalsRowShown="0">
  <tableColumns count="4">
    <tableColumn id="1" xr3:uid="{00000000-0010-0000-1C00-000001000000}" name="Year"/>
    <tableColumn id="2" xr3:uid="{00000000-0010-0000-1C00-000002000000}" name="UK roundwood [note 25]"/>
    <tableColumn id="3" xr3:uid="{00000000-0010-0000-1C00-000003000000}" name="Sawmill products"/>
    <tableColumn id="4" xr3:uid="{00000000-0010-0000-1C00-000004000000}" name="Total"/>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D000000}" name="Table33" displayName="Table33" ref="A5:E34" totalsRowShown="0">
  <tableColumns count="5">
    <tableColumn id="1" xr3:uid="{00000000-0010-0000-1D00-000001000000}" name="Year"/>
    <tableColumn id="2" xr3:uid="{00000000-0010-0000-1D00-000002000000}" name="UK roundwood"/>
    <tableColumn id="3" xr3:uid="{00000000-0010-0000-1D00-000003000000}" name="Sawmill products"/>
    <tableColumn id="4" xr3:uid="{00000000-0010-0000-1D00-000004000000}" name="Imports"/>
    <tableColumn id="5" xr3:uid="{00000000-0010-0000-1D00-000005000000}" name="Total"/>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E000000}" name="Table34" displayName="Table34" ref="A5:E15" totalsRowShown="0">
  <tableColumns count="5">
    <tableColumn id="1" xr3:uid="{00000000-0010-0000-1E00-000001000000}" name="Year"/>
    <tableColumn id="2" xr3:uid="{00000000-0010-0000-1E00-000002000000}" name="Sanitary &amp; household papers"/>
    <tableColumn id="3" xr3:uid="{00000000-0010-0000-1E00-000003000000}" name="Packaging materials"/>
    <tableColumn id="4" xr3:uid="{00000000-0010-0000-1E00-000004000000}" name="Other (including graphic papers)"/>
    <tableColumn id="5" xr3:uid="{00000000-0010-0000-1E00-000005000000}" name="Total paper &amp; paperboard"/>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F000000}" name="Table35" displayName="Table35" ref="A5:H15" totalsRowShown="0">
  <tableColumns count="8">
    <tableColumn id="1" xr3:uid="{00000000-0010-0000-1F00-000001000000}" name="Year"/>
    <tableColumn id="2" xr3:uid="{00000000-0010-0000-1F00-000002000000}" name="UK roundwood softwood [note 25]"/>
    <tableColumn id="3" xr3:uid="{00000000-0010-0000-1F00-000003000000}" name="UK roundwood hardwood [note 25]"/>
    <tableColumn id="4" xr3:uid="{00000000-0010-0000-1F00-000004000000}" name="Sawmill products"/>
    <tableColumn id="5" xr3:uid="{00000000-0010-0000-1F00-000005000000}" name="Imports softwood [note 26]"/>
    <tableColumn id="6" xr3:uid="{00000000-0010-0000-1F00-000006000000}" name="Imports hardwood [note 26]"/>
    <tableColumn id="7" xr3:uid="{00000000-0010-0000-1F00-000007000000}" name="Recycled wood fibre [note 27, 28]"/>
    <tableColumn id="8" xr3:uid="{00000000-0010-0000-1F00-000008000000}" name="Total"/>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20000000}" name="Table36" displayName="Table36" ref="A5:E34" totalsRowShown="0">
  <tableColumns count="5">
    <tableColumn id="1" xr3:uid="{00000000-0010-0000-2000-000001000000}" name="Year"/>
    <tableColumn id="2" xr3:uid="{00000000-0010-0000-2000-000002000000}" name="UK roundwood"/>
    <tableColumn id="3" xr3:uid="{00000000-0010-0000-2000-000003000000}" name="Sawmill products"/>
    <tableColumn id="4" xr3:uid="{00000000-0010-0000-2000-000004000000}" name="Imports"/>
    <tableColumn id="5" xr3:uid="{00000000-0010-0000-2000-000005000000}" name="Recycled wood fibre [note 29]"/>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21000000}" name="Table37" displayName="Table37" ref="A5:D15" totalsRowShown="0">
  <tableColumns count="4">
    <tableColumn id="1" xr3:uid="{00000000-0010-0000-2100-000001000000}" name="Year"/>
    <tableColumn id="2" xr3:uid="{00000000-0010-0000-2100-000002000000}" name="Particleboard [note 30]"/>
    <tableColumn id="3" xr3:uid="{00000000-0010-0000-2100-000003000000}" name="Fibreboard [note 31]"/>
    <tableColumn id="4" xr3:uid="{00000000-0010-0000-2100-000004000000}" name="Total"/>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22000000}" name="Table38" displayName="Table38" ref="A5:E15" totalsRowShown="0">
  <tableColumns count="5">
    <tableColumn id="1" xr3:uid="{00000000-0010-0000-2200-000001000000}" name="Year"/>
    <tableColumn id="2" xr3:uid="{00000000-0010-0000-2200-000002000000}" name="Fencing"/>
    <tableColumn id="3" xr3:uid="{00000000-0010-0000-2200-000003000000}" name="Woodfuel [note 11]"/>
    <tableColumn id="4" xr3:uid="{00000000-0010-0000-2200-000004000000}" name="Other [note 12]"/>
    <tableColumn id="5" xr3:uid="{00000000-0010-0000-2200-000005000000}" name="Total"/>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3000000}" name="Table39" displayName="Table39" ref="A5:F15" totalsRowShown="0">
  <tableColumns count="6">
    <tableColumn id="1" xr3:uid="{00000000-0010-0000-2300-000001000000}" name="Year"/>
    <tableColumn id="2" xr3:uid="{00000000-0010-0000-2300-000002000000}" name="&lt; 1"/>
    <tableColumn id="3" xr3:uid="{00000000-0010-0000-2300-000003000000}" name="1 - &lt; 5"/>
    <tableColumn id="4" xr3:uid="{00000000-0010-0000-2300-000004000000}" name="5 - &lt; 10"/>
    <tableColumn id="5" xr3:uid="{00000000-0010-0000-2300-000005000000}" name="10 +"/>
    <tableColumn id="6" xr3:uid="{00000000-0010-0000-2300-000006000000}" name="Total"/>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4000000}" name="Table40" displayName="Table40" ref="A5:F15" totalsRowShown="0">
  <tableColumns count="6">
    <tableColumn id="1" xr3:uid="{00000000-0010-0000-2400-000001000000}" name="Year"/>
    <tableColumn id="2" xr3:uid="{00000000-0010-0000-2400-000002000000}" name="&lt; 1"/>
    <tableColumn id="3" xr3:uid="{00000000-0010-0000-2400-000003000000}" name="1 - &lt; 5"/>
    <tableColumn id="4" xr3:uid="{00000000-0010-0000-2400-000004000000}" name="5 - &lt; 10"/>
    <tableColumn id="5" xr3:uid="{00000000-0010-0000-2400-000005000000}" name="10 +"/>
    <tableColumn id="6" xr3:uid="{00000000-0010-0000-2400-000006000000}" name="Total"/>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1" displayName="Table41" ref="A5:E15" totalsRowShown="0">
  <tableColumns count="5">
    <tableColumn id="1" xr3:uid="{00000000-0010-0000-2500-000001000000}" name="Year"/>
    <tableColumn id="2" xr3:uid="{00000000-0010-0000-2500-000002000000}" name="Industrial roundwood [note 35]"/>
    <tableColumn id="3" xr3:uid="{00000000-0010-0000-2500-000003000000}" name="Roundwood sawlogs"/>
    <tableColumn id="4" xr3:uid="{00000000-0010-0000-2500-000004000000}" name="Total roundwood"/>
    <tableColumn id="5" xr3:uid="{00000000-0010-0000-2500-000005000000}" name="Chips"/>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42" displayName="Table42" ref="A5:E15" totalsRowShown="0">
  <tableColumns count="5">
    <tableColumn id="1" xr3:uid="{00000000-0010-0000-2600-000001000000}" name="Year"/>
    <tableColumn id="2" xr3:uid="{00000000-0010-0000-2600-000002000000}" name="Softwood removals from private sector woodland"/>
    <tableColumn id="3" xr3:uid="{00000000-0010-0000-2600-000003000000}" name="Total softwood removals [note 36]"/>
    <tableColumn id="4" xr3:uid="{00000000-0010-0000-2600-000004000000}" name="Consumption (softwood and hardwood) by sawmills"/>
    <tableColumn id="5" xr3:uid="{00000000-0010-0000-2600-000005000000}" name="Consumption (softwood) by round fencing manufacturers"/>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7000000}" name="Table44" displayName="Table44" ref="A5:C10" totalsRowShown="0">
  <tableColumns count="3">
    <tableColumn id="1" xr3:uid="{00000000-0010-0000-2700-000001000000}" name="Country"/>
    <tableColumn id="2" xr3:uid="{00000000-0010-0000-2700-000002000000}" name="Softwood removals from private sector woodland"/>
    <tableColumn id="3" xr3:uid="{00000000-0010-0000-2700-000003000000}" name="Total softwood removals [note 36]"/>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8000000}" name="Table45" displayName="Table45" ref="A5:E10" totalsRowShown="0">
  <tableColumns count="5">
    <tableColumn id="1" xr3:uid="{00000000-0010-0000-2800-000001000000}" name="Processors"/>
    <tableColumn id="2" xr3:uid="{00000000-0010-0000-2800-000002000000}" name="Mills holding certificate"/>
    <tableColumn id="3" xr3:uid="{00000000-0010-0000-2800-000003000000}" name="Mills without certificate"/>
    <tableColumn id="4" xr3:uid="{00000000-0010-0000-2800-000004000000}" name="Certification status not known [note 38]"/>
    <tableColumn id="5" xr3:uid="{00000000-0010-0000-2800-000005000000}" name="Total [note 38]"/>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9000000}" name="Table46" displayName="Table46" ref="A5:C15" totalsRowShown="0">
  <tableColumns count="3">
    <tableColumn id="1" xr3:uid="{00000000-0010-0000-2900-000001000000}" name="Year"/>
    <tableColumn id="2" xr3:uid="{00000000-0010-0000-2900-000002000000}" name="Total"/>
    <tableColumn id="3" xr3:uid="{00000000-0010-0000-2900-000003000000}" name="Note "/>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A000000}" name="Table47" displayName="Table47" ref="A5:F13" totalsRowShown="0">
  <tableColumns count="6">
    <tableColumn id="1" xr3:uid="{00000000-0010-0000-2A00-000001000000}" name="Processor"/>
    <tableColumn id="2" xr3:uid="{00000000-0010-0000-2A00-000002000000}" name="2018"/>
    <tableColumn id="3" xr3:uid="{00000000-0010-0000-2A00-000003000000}" name="2019"/>
    <tableColumn id="4" xr3:uid="{00000000-0010-0000-2A00-000004000000}" name="2020"/>
    <tableColumn id="5" xr3:uid="{00000000-0010-0000-2A00-000005000000}" name="2021"/>
    <tableColumn id="6" xr3:uid="{00000000-0010-0000-2A00-000006000000}" name="2022"/>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B000000}" name="Table48" displayName="Table48" ref="A5:B15" totalsRowShown="0">
  <tableColumns count="2">
    <tableColumn id="1" xr3:uid="{00000000-0010-0000-2B00-000001000000}" name="Year"/>
    <tableColumn id="2" xr3:uid="{00000000-0010-0000-2B00-000002000000}" name="Total"/>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C000000}" name="Table49" displayName="Table49" ref="A5:D10" totalsRowShown="0">
  <tableColumns count="4">
    <tableColumn id="1" xr3:uid="{00000000-0010-0000-2C00-000001000000}" name="Year"/>
    <tableColumn id="2" xr3:uid="{00000000-0010-0000-2C00-000002000000}" name="Roundwood"/>
    <tableColumn id="3" xr3:uid="{00000000-0010-0000-2C00-000003000000}" name="Sawmill products [note 45]"/>
    <tableColumn id="4" xr3:uid="{00000000-0010-0000-2C00-000004000000}" name="Total"/>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D000000}" name="Table50" displayName="Table50" ref="A5:D9" totalsRowShown="0">
  <tableColumns count="4">
    <tableColumn id="1" xr3:uid="{00000000-0010-0000-2D00-000001000000}" name="Preservative treated"/>
    <tableColumn id="2" xr3:uid="{00000000-0010-0000-2D00-000002000000}" name="2020"/>
    <tableColumn id="3" xr3:uid="{00000000-0010-0000-2D00-000003000000}" name="2021"/>
    <tableColumn id="4" xr3:uid="{00000000-0010-0000-2D00-000004000000}" name="2022"/>
  </tableColumns>
  <tableStyleInfo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statistics@forestresearch.gov.uk" TargetMode="External"/><Relationship Id="rId2" Type="http://schemas.openxmlformats.org/officeDocument/2006/relationships/hyperlink" Target="https://www.forestresearch.gov.uk/documents/4355/Revisions_Policy_k9ZOuVN.pdf" TargetMode="External"/><Relationship Id="rId1" Type="http://schemas.openxmlformats.org/officeDocument/2006/relationships/hyperlink" Target="https://www.forestresearch.gov.uk/tools-and-resources/statistics/forestry-statistics/forestry-statistics-2021/1-woodland-area-planting/" TargetMode="External"/><Relationship Id="rId5" Type="http://schemas.openxmlformats.org/officeDocument/2006/relationships/drawing" Target="../drawings/drawing1.xml"/><Relationship Id="rId4" Type="http://schemas.openxmlformats.org/officeDocument/2006/relationships/hyperlink" Target="mailto:newsdesk@defra.gov.uk"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4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6"/>
  <sheetViews>
    <sheetView zoomScale="175" zoomScaleNormal="175" workbookViewId="0">
      <selection activeCell="H24" sqref="H24"/>
    </sheetView>
  </sheetViews>
  <sheetFormatPr defaultColWidth="8.375" defaultRowHeight="14.25" x14ac:dyDescent="0.2"/>
  <sheetData>
    <row r="1" spans="1:1" x14ac:dyDescent="0.2">
      <c r="A1" t="s">
        <v>0</v>
      </c>
    </row>
    <row r="2" spans="1:1" x14ac:dyDescent="0.2">
      <c r="A2" t="s">
        <v>1</v>
      </c>
    </row>
    <row r="4" spans="1:1" ht="15.75" x14ac:dyDescent="0.25">
      <c r="A4" t="s">
        <v>2</v>
      </c>
    </row>
    <row r="5" spans="1:1" ht="15.75" x14ac:dyDescent="0.25">
      <c r="A5" t="s">
        <v>3</v>
      </c>
    </row>
    <row r="6" spans="1:1" ht="15.75" x14ac:dyDescent="0.25">
      <c r="A6" t="s">
        <v>4</v>
      </c>
    </row>
    <row r="8" spans="1:1" x14ac:dyDescent="0.2">
      <c r="A8" t="s">
        <v>5</v>
      </c>
    </row>
    <row r="9" spans="1:1" ht="15.75" x14ac:dyDescent="0.25">
      <c r="A9" t="s">
        <v>6</v>
      </c>
    </row>
    <row r="10" spans="1:1" ht="15.75" x14ac:dyDescent="0.25">
      <c r="A10" t="s">
        <v>7</v>
      </c>
    </row>
    <row r="11" spans="1:1" ht="15.75" x14ac:dyDescent="0.25">
      <c r="A11" t="s">
        <v>8</v>
      </c>
    </row>
    <row r="12" spans="1:1" ht="15.75" x14ac:dyDescent="0.25">
      <c r="A12" t="s">
        <v>9</v>
      </c>
    </row>
    <row r="13" spans="1:1" ht="15.75" x14ac:dyDescent="0.25">
      <c r="A13" t="s">
        <v>10</v>
      </c>
    </row>
    <row r="14" spans="1:1" ht="15.75" x14ac:dyDescent="0.25">
      <c r="A14" t="s">
        <v>11</v>
      </c>
    </row>
    <row r="15" spans="1:1" ht="15.75" x14ac:dyDescent="0.25">
      <c r="A15" t="s">
        <v>12</v>
      </c>
    </row>
    <row r="16" spans="1:1" ht="15.75" x14ac:dyDescent="0.25">
      <c r="A16" t="s">
        <v>13</v>
      </c>
    </row>
    <row r="17" spans="1:1" ht="15.75" x14ac:dyDescent="0.25">
      <c r="A17" t="s">
        <v>14</v>
      </c>
    </row>
    <row r="18" spans="1:1" ht="15.75" x14ac:dyDescent="0.25">
      <c r="A18" t="s">
        <v>15</v>
      </c>
    </row>
    <row r="19" spans="1:1" ht="15.75" x14ac:dyDescent="0.25">
      <c r="A19" t="s">
        <v>16</v>
      </c>
    </row>
    <row r="20" spans="1:1" ht="15.75" x14ac:dyDescent="0.25">
      <c r="A20" t="s">
        <v>17</v>
      </c>
    </row>
    <row r="21" spans="1:1" ht="15.75" x14ac:dyDescent="0.25">
      <c r="A21" t="s">
        <v>18</v>
      </c>
    </row>
    <row r="22" spans="1:1" ht="15.75" x14ac:dyDescent="0.25">
      <c r="A22" t="s">
        <v>19</v>
      </c>
    </row>
    <row r="23" spans="1:1" ht="15.75" x14ac:dyDescent="0.25">
      <c r="A23" t="s">
        <v>20</v>
      </c>
    </row>
    <row r="24" spans="1:1" ht="17.25" customHeight="1" x14ac:dyDescent="0.25">
      <c r="A24" t="s">
        <v>21</v>
      </c>
    </row>
    <row r="25" spans="1:1" ht="17.25" customHeight="1" x14ac:dyDescent="0.25">
      <c r="A25" t="s">
        <v>22</v>
      </c>
    </row>
    <row r="26" spans="1:1" ht="17.25" customHeight="1" x14ac:dyDescent="0.25">
      <c r="A26" t="s">
        <v>23</v>
      </c>
    </row>
    <row r="27" spans="1:1" ht="15.75" x14ac:dyDescent="0.25">
      <c r="A27" t="s">
        <v>24</v>
      </c>
    </row>
    <row r="28" spans="1:1" ht="17.25" customHeight="1" x14ac:dyDescent="0.25">
      <c r="A28" t="s">
        <v>25</v>
      </c>
    </row>
    <row r="29" spans="1:1" ht="17.25" customHeight="1" x14ac:dyDescent="0.25">
      <c r="A29" t="s">
        <v>26</v>
      </c>
    </row>
    <row r="30" spans="1:1" ht="17.25" customHeight="1" x14ac:dyDescent="0.25">
      <c r="A30" t="s">
        <v>27</v>
      </c>
    </row>
    <row r="31" spans="1:1" ht="17.25" customHeight="1" x14ac:dyDescent="0.25">
      <c r="A31" t="s">
        <v>28</v>
      </c>
    </row>
    <row r="32" spans="1:1" ht="15.75" x14ac:dyDescent="0.25">
      <c r="A32" t="s">
        <v>29</v>
      </c>
    </row>
    <row r="33" spans="1:1" ht="17.25" customHeight="1" x14ac:dyDescent="0.25">
      <c r="A33" t="s">
        <v>30</v>
      </c>
    </row>
    <row r="34" spans="1:1" ht="17.25" customHeight="1" x14ac:dyDescent="0.25">
      <c r="A34" t="s">
        <v>31</v>
      </c>
    </row>
    <row r="35" spans="1:1" ht="15.75" x14ac:dyDescent="0.25">
      <c r="A35" t="s">
        <v>32</v>
      </c>
    </row>
    <row r="36" spans="1:1" ht="15.75" x14ac:dyDescent="0.25">
      <c r="A36" t="s">
        <v>33</v>
      </c>
    </row>
    <row r="37" spans="1:1" ht="15.75" x14ac:dyDescent="0.25">
      <c r="A37" t="s">
        <v>34</v>
      </c>
    </row>
    <row r="38" spans="1:1" ht="15.75" x14ac:dyDescent="0.25">
      <c r="A38" t="s">
        <v>35</v>
      </c>
    </row>
    <row r="39" spans="1:1" ht="15.75" x14ac:dyDescent="0.25">
      <c r="A39" t="s">
        <v>36</v>
      </c>
    </row>
    <row r="40" spans="1:1" ht="15.75" x14ac:dyDescent="0.25">
      <c r="A40" t="s">
        <v>37</v>
      </c>
    </row>
    <row r="41" spans="1:1" ht="15.75" x14ac:dyDescent="0.25">
      <c r="A41" t="s">
        <v>38</v>
      </c>
    </row>
    <row r="42" spans="1:1" ht="15.75" x14ac:dyDescent="0.25">
      <c r="A42" t="s">
        <v>39</v>
      </c>
    </row>
    <row r="43" spans="1:1" ht="15.75" x14ac:dyDescent="0.25">
      <c r="A43" t="s">
        <v>40</v>
      </c>
    </row>
    <row r="44" spans="1:1" ht="15.75" x14ac:dyDescent="0.25">
      <c r="A44" t="s">
        <v>41</v>
      </c>
    </row>
    <row r="45" spans="1:1" ht="15.75" x14ac:dyDescent="0.25">
      <c r="A45" t="s">
        <v>42</v>
      </c>
    </row>
    <row r="46" spans="1:1" ht="15.75" x14ac:dyDescent="0.25">
      <c r="A46" t="s">
        <v>43</v>
      </c>
    </row>
    <row r="47" spans="1:1" ht="15.75" x14ac:dyDescent="0.25">
      <c r="A47" t="s">
        <v>44</v>
      </c>
    </row>
    <row r="48" spans="1:1" ht="15.75" x14ac:dyDescent="0.25">
      <c r="A48" t="s">
        <v>45</v>
      </c>
    </row>
    <row r="49" spans="1:1" ht="15.75" x14ac:dyDescent="0.25">
      <c r="A49" t="s">
        <v>46</v>
      </c>
    </row>
    <row r="50" spans="1:1" ht="15.75" x14ac:dyDescent="0.25">
      <c r="A50" t="s">
        <v>47</v>
      </c>
    </row>
    <row r="51" spans="1:1" ht="15.75" x14ac:dyDescent="0.25">
      <c r="A51" t="s">
        <v>48</v>
      </c>
    </row>
    <row r="52" spans="1:1" ht="15.75" x14ac:dyDescent="0.25">
      <c r="A52" t="s">
        <v>49</v>
      </c>
    </row>
    <row r="53" spans="1:1" ht="15.75" x14ac:dyDescent="0.25">
      <c r="A53" t="s">
        <v>50</v>
      </c>
    </row>
    <row r="54" spans="1:1" ht="15.75" x14ac:dyDescent="0.25">
      <c r="A54" t="s">
        <v>51</v>
      </c>
    </row>
    <row r="56" spans="1:1" x14ac:dyDescent="0.2">
      <c r="A56" t="s">
        <v>52</v>
      </c>
    </row>
    <row r="57" spans="1:1" x14ac:dyDescent="0.2">
      <c r="A57" t="s">
        <v>53</v>
      </c>
    </row>
    <row r="58" spans="1:1" x14ac:dyDescent="0.2">
      <c r="A58" t="s">
        <v>54</v>
      </c>
    </row>
    <row r="60" spans="1:1" x14ac:dyDescent="0.2">
      <c r="A60" t="s">
        <v>55</v>
      </c>
    </row>
    <row r="61" spans="1:1" x14ac:dyDescent="0.2">
      <c r="A61" t="s">
        <v>56</v>
      </c>
    </row>
    <row r="62" spans="1:1" x14ac:dyDescent="0.2">
      <c r="A62" t="s">
        <v>57</v>
      </c>
    </row>
    <row r="63" spans="1:1" x14ac:dyDescent="0.2">
      <c r="A63" t="s">
        <v>58</v>
      </c>
    </row>
    <row r="65" spans="1:1" x14ac:dyDescent="0.2">
      <c r="A65" t="s">
        <v>59</v>
      </c>
    </row>
    <row r="66" spans="1:1" x14ac:dyDescent="0.2">
      <c r="A66" t="s">
        <v>60</v>
      </c>
    </row>
  </sheetData>
  <hyperlinks>
    <hyperlink ref="A57" r:id="rId1" xr:uid="{00000000-0004-0000-0000-000000000000}"/>
    <hyperlink ref="A58" r:id="rId2" xr:uid="{00000000-0004-0000-0000-000001000000}"/>
    <hyperlink ref="A63" r:id="rId3" xr:uid="{00000000-0004-0000-0000-000002000000}"/>
    <hyperlink ref="A66" r:id="rId4" xr:uid="{00000000-0004-0000-0000-000003000000}"/>
  </hyperlinks>
  <pageMargins left="0.7" right="0.7" top="0.3" bottom="0.3" header="0.3" footer="0.3"/>
  <pageSetup paperSize="9" orientation="portrait" horizontalDpi="300" verticalDpi="300"/>
  <headerFooter differentFirst="1">
    <oddFooter>&amp;L&amp;1#&amp;8Classified as Official</oddFooter>
  </headerFooter>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6"/>
  <sheetViews>
    <sheetView zoomScaleNormal="100" zoomScalePageLayoutView="60" workbookViewId="0"/>
  </sheetViews>
  <sheetFormatPr defaultColWidth="8.375" defaultRowHeight="14.25" x14ac:dyDescent="0.2"/>
  <cols>
    <col min="1" max="1" width="11.25" customWidth="1"/>
    <col min="2" max="2" width="164.5" customWidth="1"/>
  </cols>
  <sheetData>
    <row r="1" spans="1:2" x14ac:dyDescent="0.2">
      <c r="A1" t="s">
        <v>61</v>
      </c>
      <c r="B1" t="s">
        <v>62</v>
      </c>
    </row>
    <row r="2" spans="1:2" x14ac:dyDescent="0.2">
      <c r="A2" t="s">
        <v>63</v>
      </c>
      <c r="B2" t="s">
        <v>64</v>
      </c>
    </row>
    <row r="3" spans="1:2" x14ac:dyDescent="0.2">
      <c r="A3" t="s">
        <v>65</v>
      </c>
      <c r="B3" t="s">
        <v>66</v>
      </c>
    </row>
    <row r="4" spans="1:2" x14ac:dyDescent="0.2">
      <c r="A4" t="s">
        <v>67</v>
      </c>
      <c r="B4" t="s">
        <v>68</v>
      </c>
    </row>
    <row r="5" spans="1:2" x14ac:dyDescent="0.2">
      <c r="A5" t="s">
        <v>69</v>
      </c>
      <c r="B5" t="s">
        <v>70</v>
      </c>
    </row>
    <row r="6" spans="1:2" x14ac:dyDescent="0.2">
      <c r="A6" t="s">
        <v>71</v>
      </c>
      <c r="B6" t="s">
        <v>72</v>
      </c>
    </row>
    <row r="7" spans="1:2" x14ac:dyDescent="0.2">
      <c r="A7" t="s">
        <v>73</v>
      </c>
      <c r="B7" t="s">
        <v>74</v>
      </c>
    </row>
    <row r="8" spans="1:2" x14ac:dyDescent="0.2">
      <c r="A8" t="s">
        <v>75</v>
      </c>
      <c r="B8" t="s">
        <v>76</v>
      </c>
    </row>
    <row r="9" spans="1:2" x14ac:dyDescent="0.2">
      <c r="A9" t="s">
        <v>77</v>
      </c>
      <c r="B9" t="s">
        <v>78</v>
      </c>
    </row>
    <row r="10" spans="1:2" x14ac:dyDescent="0.2">
      <c r="A10" t="s">
        <v>79</v>
      </c>
      <c r="B10" t="s">
        <v>80</v>
      </c>
    </row>
    <row r="11" spans="1:2" x14ac:dyDescent="0.2">
      <c r="A11" t="s">
        <v>81</v>
      </c>
      <c r="B11" t="s">
        <v>82</v>
      </c>
    </row>
    <row r="12" spans="1:2" x14ac:dyDescent="0.2">
      <c r="A12" t="s">
        <v>83</v>
      </c>
      <c r="B12" t="s">
        <v>84</v>
      </c>
    </row>
    <row r="13" spans="1:2" x14ac:dyDescent="0.2">
      <c r="A13" t="s">
        <v>85</v>
      </c>
      <c r="B13" t="s">
        <v>86</v>
      </c>
    </row>
    <row r="14" spans="1:2" x14ac:dyDescent="0.2">
      <c r="A14" t="s">
        <v>87</v>
      </c>
      <c r="B14" t="s">
        <v>88</v>
      </c>
    </row>
    <row r="15" spans="1:2" x14ac:dyDescent="0.2">
      <c r="A15" t="s">
        <v>89</v>
      </c>
      <c r="B15" t="s">
        <v>90</v>
      </c>
    </row>
    <row r="16" spans="1:2" x14ac:dyDescent="0.2">
      <c r="A16" t="s">
        <v>91</v>
      </c>
      <c r="B16" t="s">
        <v>92</v>
      </c>
    </row>
    <row r="17" spans="1:2" x14ac:dyDescent="0.2">
      <c r="A17" t="s">
        <v>93</v>
      </c>
      <c r="B17" t="s">
        <v>94</v>
      </c>
    </row>
    <row r="18" spans="1:2" x14ac:dyDescent="0.2">
      <c r="A18" t="s">
        <v>95</v>
      </c>
      <c r="B18" t="s">
        <v>96</v>
      </c>
    </row>
    <row r="19" spans="1:2" x14ac:dyDescent="0.2">
      <c r="A19" t="s">
        <v>97</v>
      </c>
      <c r="B19" t="s">
        <v>98</v>
      </c>
    </row>
    <row r="20" spans="1:2" x14ac:dyDescent="0.2">
      <c r="A20" t="s">
        <v>99</v>
      </c>
      <c r="B20" t="s">
        <v>100</v>
      </c>
    </row>
    <row r="21" spans="1:2" x14ac:dyDescent="0.2">
      <c r="A21" t="s">
        <v>101</v>
      </c>
      <c r="B21" t="s">
        <v>102</v>
      </c>
    </row>
    <row r="22" spans="1:2" x14ac:dyDescent="0.2">
      <c r="A22" t="s">
        <v>103</v>
      </c>
      <c r="B22" t="s">
        <v>104</v>
      </c>
    </row>
    <row r="23" spans="1:2" x14ac:dyDescent="0.2">
      <c r="A23" t="s">
        <v>105</v>
      </c>
      <c r="B23" t="s">
        <v>106</v>
      </c>
    </row>
    <row r="24" spans="1:2" x14ac:dyDescent="0.2">
      <c r="A24" t="s">
        <v>107</v>
      </c>
      <c r="B24" t="s">
        <v>108</v>
      </c>
    </row>
    <row r="25" spans="1:2" x14ac:dyDescent="0.2">
      <c r="A25" t="s">
        <v>109</v>
      </c>
      <c r="B25" t="s">
        <v>110</v>
      </c>
    </row>
    <row r="26" spans="1:2" x14ac:dyDescent="0.2">
      <c r="A26" t="s">
        <v>111</v>
      </c>
      <c r="B26" t="s">
        <v>112</v>
      </c>
    </row>
    <row r="27" spans="1:2" x14ac:dyDescent="0.2">
      <c r="A27" t="s">
        <v>113</v>
      </c>
      <c r="B27" t="s">
        <v>114</v>
      </c>
    </row>
    <row r="28" spans="1:2" x14ac:dyDescent="0.2">
      <c r="A28" t="s">
        <v>115</v>
      </c>
      <c r="B28" t="s">
        <v>116</v>
      </c>
    </row>
    <row r="29" spans="1:2" x14ac:dyDescent="0.2">
      <c r="A29" t="s">
        <v>117</v>
      </c>
      <c r="B29" t="s">
        <v>118</v>
      </c>
    </row>
    <row r="30" spans="1:2" x14ac:dyDescent="0.2">
      <c r="A30" t="s">
        <v>119</v>
      </c>
      <c r="B30" t="s">
        <v>120</v>
      </c>
    </row>
    <row r="31" spans="1:2" x14ac:dyDescent="0.2">
      <c r="A31" t="s">
        <v>121</v>
      </c>
      <c r="B31" t="s">
        <v>122</v>
      </c>
    </row>
    <row r="32" spans="1:2" x14ac:dyDescent="0.2">
      <c r="A32" t="s">
        <v>123</v>
      </c>
      <c r="B32" t="s">
        <v>124</v>
      </c>
    </row>
    <row r="33" spans="1:2" x14ac:dyDescent="0.2">
      <c r="A33" t="s">
        <v>125</v>
      </c>
      <c r="B33" t="s">
        <v>126</v>
      </c>
    </row>
    <row r="34" spans="1:2" x14ac:dyDescent="0.2">
      <c r="A34" t="s">
        <v>127</v>
      </c>
      <c r="B34" t="s">
        <v>128</v>
      </c>
    </row>
    <row r="35" spans="1:2" x14ac:dyDescent="0.2">
      <c r="A35" t="s">
        <v>129</v>
      </c>
      <c r="B35" t="s">
        <v>130</v>
      </c>
    </row>
    <row r="36" spans="1:2" x14ac:dyDescent="0.2">
      <c r="A36" t="s">
        <v>131</v>
      </c>
      <c r="B36" t="s">
        <v>132</v>
      </c>
    </row>
    <row r="37" spans="1:2" x14ac:dyDescent="0.2">
      <c r="A37" t="s">
        <v>133</v>
      </c>
      <c r="B37" t="s">
        <v>134</v>
      </c>
    </row>
    <row r="38" spans="1:2" x14ac:dyDescent="0.2">
      <c r="A38" t="s">
        <v>135</v>
      </c>
      <c r="B38" t="s">
        <v>136</v>
      </c>
    </row>
    <row r="39" spans="1:2" x14ac:dyDescent="0.2">
      <c r="A39" t="s">
        <v>137</v>
      </c>
      <c r="B39" t="s">
        <v>138</v>
      </c>
    </row>
    <row r="40" spans="1:2" x14ac:dyDescent="0.2">
      <c r="A40" t="s">
        <v>139</v>
      </c>
      <c r="B40" t="s">
        <v>140</v>
      </c>
    </row>
    <row r="41" spans="1:2" x14ac:dyDescent="0.2">
      <c r="A41" t="s">
        <v>141</v>
      </c>
      <c r="B41" t="s">
        <v>142</v>
      </c>
    </row>
    <row r="42" spans="1:2" x14ac:dyDescent="0.2">
      <c r="A42" t="s">
        <v>143</v>
      </c>
      <c r="B42" t="s">
        <v>144</v>
      </c>
    </row>
    <row r="43" spans="1:2" x14ac:dyDescent="0.2">
      <c r="A43" t="s">
        <v>145</v>
      </c>
      <c r="B43" t="s">
        <v>146</v>
      </c>
    </row>
    <row r="44" spans="1:2" x14ac:dyDescent="0.2">
      <c r="A44" t="s">
        <v>147</v>
      </c>
      <c r="B44" t="s">
        <v>148</v>
      </c>
    </row>
    <row r="45" spans="1:2" x14ac:dyDescent="0.2">
      <c r="A45" t="s">
        <v>149</v>
      </c>
      <c r="B45" t="s">
        <v>150</v>
      </c>
    </row>
    <row r="46" spans="1:2" x14ac:dyDescent="0.2">
      <c r="A46" t="s">
        <v>151</v>
      </c>
      <c r="B46" t="s">
        <v>152</v>
      </c>
    </row>
  </sheetData>
  <pageMargins left="0.7" right="0.7" top="0.3" bottom="0.3" header="0.3" footer="0.3"/>
  <pageSetup paperSize="9" orientation="portrait" horizontalDpi="300" verticalDpi="300"/>
  <headerFooter differentFirst="1">
    <oddFooter>&amp;L&amp;1#&amp;8Classified as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5"/>
  <sheetViews>
    <sheetView zoomScaleNormal="100" zoomScalePageLayoutView="60" workbookViewId="0"/>
  </sheetViews>
  <sheetFormatPr defaultColWidth="8.375" defaultRowHeight="14.25" x14ac:dyDescent="0.2"/>
  <cols>
    <col min="2" max="2" width="36.875" customWidth="1"/>
    <col min="3" max="3" width="34.5" customWidth="1"/>
    <col min="4" max="4" width="18" customWidth="1"/>
    <col min="5" max="6" width="24.25" customWidth="1"/>
    <col min="7" max="7" width="23.75" customWidth="1"/>
  </cols>
  <sheetData>
    <row r="1" spans="1:4" x14ac:dyDescent="0.2">
      <c r="A1" t="s">
        <v>153</v>
      </c>
    </row>
    <row r="2" spans="1:4" x14ac:dyDescent="0.2">
      <c r="A2" t="s">
        <v>154</v>
      </c>
    </row>
    <row r="3" spans="1:4" x14ac:dyDescent="0.2">
      <c r="A3" t="s">
        <v>155</v>
      </c>
    </row>
    <row r="4" spans="1:4" x14ac:dyDescent="0.2">
      <c r="A4" t="s">
        <v>156</v>
      </c>
    </row>
    <row r="5" spans="1:4" x14ac:dyDescent="0.2">
      <c r="A5" t="s">
        <v>157</v>
      </c>
      <c r="B5" t="s">
        <v>158</v>
      </c>
      <c r="C5" t="s">
        <v>159</v>
      </c>
      <c r="D5" t="s">
        <v>160</v>
      </c>
    </row>
    <row r="6" spans="1:4" x14ac:dyDescent="0.2">
      <c r="A6">
        <v>2013</v>
      </c>
      <c r="B6">
        <v>5084</v>
      </c>
      <c r="C6">
        <v>5852</v>
      </c>
      <c r="D6">
        <v>10936</v>
      </c>
    </row>
    <row r="7" spans="1:4" x14ac:dyDescent="0.2">
      <c r="A7">
        <v>2014</v>
      </c>
      <c r="B7">
        <v>4900</v>
      </c>
      <c r="C7">
        <v>6627</v>
      </c>
      <c r="D7">
        <v>11527</v>
      </c>
    </row>
    <row r="8" spans="1:4" x14ac:dyDescent="0.2">
      <c r="A8">
        <v>2015</v>
      </c>
      <c r="B8">
        <v>4691</v>
      </c>
      <c r="C8">
        <v>5968</v>
      </c>
      <c r="D8">
        <v>10659</v>
      </c>
    </row>
    <row r="9" spans="1:4" x14ac:dyDescent="0.2">
      <c r="A9">
        <v>2016</v>
      </c>
      <c r="B9">
        <v>5011</v>
      </c>
      <c r="C9">
        <v>5734</v>
      </c>
      <c r="D9">
        <v>10745</v>
      </c>
    </row>
    <row r="10" spans="1:4" x14ac:dyDescent="0.2">
      <c r="A10">
        <v>2017</v>
      </c>
      <c r="B10">
        <v>4641</v>
      </c>
      <c r="C10">
        <v>6075</v>
      </c>
      <c r="D10">
        <v>10717</v>
      </c>
    </row>
    <row r="11" spans="1:4" x14ac:dyDescent="0.2">
      <c r="A11">
        <v>2018</v>
      </c>
      <c r="B11">
        <v>4395</v>
      </c>
      <c r="C11">
        <v>6827</v>
      </c>
      <c r="D11">
        <v>11223</v>
      </c>
    </row>
    <row r="12" spans="1:4" x14ac:dyDescent="0.2">
      <c r="A12">
        <v>2019</v>
      </c>
      <c r="B12">
        <v>3842</v>
      </c>
      <c r="C12">
        <v>5884</v>
      </c>
      <c r="D12">
        <v>9726</v>
      </c>
    </row>
    <row r="13" spans="1:4" x14ac:dyDescent="0.2">
      <c r="A13">
        <v>2020</v>
      </c>
      <c r="B13">
        <v>4504</v>
      </c>
      <c r="C13">
        <v>5437</v>
      </c>
      <c r="D13">
        <v>9940</v>
      </c>
    </row>
    <row r="14" spans="1:4" x14ac:dyDescent="0.2">
      <c r="A14">
        <v>2021</v>
      </c>
      <c r="B14">
        <v>3888</v>
      </c>
      <c r="C14">
        <v>6407</v>
      </c>
      <c r="D14">
        <v>10295</v>
      </c>
    </row>
    <row r="15" spans="1:4" x14ac:dyDescent="0.2">
      <c r="A15">
        <v>2022</v>
      </c>
      <c r="B15">
        <v>3709</v>
      </c>
      <c r="C15">
        <v>5443</v>
      </c>
      <c r="D15">
        <v>9152</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5"/>
  <sheetViews>
    <sheetView zoomScaleNormal="100" zoomScalePageLayoutView="60" workbookViewId="0"/>
  </sheetViews>
  <sheetFormatPr defaultColWidth="8.375" defaultRowHeight="14.25" x14ac:dyDescent="0.2"/>
  <cols>
    <col min="1" max="1" width="12.25" customWidth="1"/>
    <col min="2" max="2" width="36.25" customWidth="1"/>
    <col min="3" max="3" width="33.625" customWidth="1"/>
    <col min="4" max="4" width="27.25" customWidth="1"/>
    <col min="5" max="5" width="26.125" customWidth="1"/>
  </cols>
  <sheetData>
    <row r="1" spans="1:4" x14ac:dyDescent="0.2">
      <c r="A1" t="s">
        <v>161</v>
      </c>
    </row>
    <row r="2" spans="1:4" x14ac:dyDescent="0.2">
      <c r="A2" t="s">
        <v>154</v>
      </c>
    </row>
    <row r="3" spans="1:4" x14ac:dyDescent="0.2">
      <c r="A3" t="s">
        <v>155</v>
      </c>
    </row>
    <row r="4" spans="1:4" x14ac:dyDescent="0.2">
      <c r="A4" t="s">
        <v>156</v>
      </c>
    </row>
    <row r="5" spans="1:4" x14ac:dyDescent="0.2">
      <c r="A5" t="s">
        <v>157</v>
      </c>
      <c r="B5" t="s">
        <v>158</v>
      </c>
      <c r="C5" t="s">
        <v>159</v>
      </c>
      <c r="D5" t="s">
        <v>162</v>
      </c>
    </row>
    <row r="6" spans="1:4" x14ac:dyDescent="0.2">
      <c r="A6">
        <v>2013</v>
      </c>
      <c r="B6">
        <v>78</v>
      </c>
      <c r="C6">
        <v>452</v>
      </c>
      <c r="D6">
        <v>530</v>
      </c>
    </row>
    <row r="7" spans="1:4" x14ac:dyDescent="0.2">
      <c r="A7">
        <v>2014</v>
      </c>
      <c r="B7">
        <v>71</v>
      </c>
      <c r="C7">
        <v>464</v>
      </c>
      <c r="D7">
        <v>535</v>
      </c>
    </row>
    <row r="8" spans="1:4" x14ac:dyDescent="0.2">
      <c r="A8">
        <v>2015</v>
      </c>
      <c r="B8">
        <v>73</v>
      </c>
      <c r="C8">
        <v>491</v>
      </c>
      <c r="D8">
        <v>564</v>
      </c>
    </row>
    <row r="9" spans="1:4" x14ac:dyDescent="0.2">
      <c r="A9">
        <v>2016</v>
      </c>
      <c r="B9">
        <v>68</v>
      </c>
      <c r="C9">
        <v>527</v>
      </c>
      <c r="D9">
        <v>595</v>
      </c>
    </row>
    <row r="10" spans="1:4" x14ac:dyDescent="0.2">
      <c r="A10">
        <v>2017</v>
      </c>
      <c r="B10">
        <v>84</v>
      </c>
      <c r="C10">
        <v>652</v>
      </c>
      <c r="D10">
        <v>736</v>
      </c>
    </row>
    <row r="11" spans="1:4" x14ac:dyDescent="0.2">
      <c r="A11">
        <v>2018</v>
      </c>
      <c r="B11">
        <v>88</v>
      </c>
      <c r="C11">
        <v>746</v>
      </c>
      <c r="D11">
        <v>834</v>
      </c>
    </row>
    <row r="12" spans="1:4" x14ac:dyDescent="0.2">
      <c r="A12">
        <v>2019</v>
      </c>
      <c r="B12">
        <v>67</v>
      </c>
      <c r="C12">
        <v>801</v>
      </c>
      <c r="D12">
        <v>868</v>
      </c>
    </row>
    <row r="13" spans="1:4" x14ac:dyDescent="0.2">
      <c r="A13">
        <v>2020</v>
      </c>
      <c r="B13">
        <v>87</v>
      </c>
      <c r="C13">
        <v>742</v>
      </c>
      <c r="D13">
        <v>829</v>
      </c>
    </row>
    <row r="14" spans="1:4" x14ac:dyDescent="0.2">
      <c r="A14">
        <v>2021</v>
      </c>
      <c r="B14">
        <v>96</v>
      </c>
      <c r="C14">
        <v>727</v>
      </c>
      <c r="D14">
        <v>823</v>
      </c>
    </row>
    <row r="15" spans="1:4" x14ac:dyDescent="0.2">
      <c r="A15">
        <v>2022</v>
      </c>
      <c r="B15">
        <v>90</v>
      </c>
      <c r="C15">
        <v>745</v>
      </c>
      <c r="D15">
        <v>834</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5"/>
  <sheetViews>
    <sheetView zoomScaleNormal="100" zoomScalePageLayoutView="60" workbookViewId="0"/>
  </sheetViews>
  <sheetFormatPr defaultColWidth="8.375" defaultRowHeight="14.25" x14ac:dyDescent="0.2"/>
  <cols>
    <col min="1" max="1" width="14.75" customWidth="1"/>
    <col min="2" max="2" width="10.75" customWidth="1"/>
    <col min="3" max="3" width="8.625" customWidth="1"/>
    <col min="4" max="4" width="11.5" customWidth="1"/>
    <col min="5" max="5" width="18.875" customWidth="1"/>
    <col min="6" max="6" width="17.125" customWidth="1"/>
    <col min="7" max="7" width="17.875" customWidth="1"/>
  </cols>
  <sheetData>
    <row r="1" spans="1:6" x14ac:dyDescent="0.2">
      <c r="A1" t="s">
        <v>163</v>
      </c>
    </row>
    <row r="2" spans="1:6" x14ac:dyDescent="0.2">
      <c r="A2" t="s">
        <v>164</v>
      </c>
    </row>
    <row r="3" spans="1:6" x14ac:dyDescent="0.2">
      <c r="A3" t="s">
        <v>155</v>
      </c>
    </row>
    <row r="4" spans="1:6" x14ac:dyDescent="0.2">
      <c r="A4" t="s">
        <v>165</v>
      </c>
    </row>
    <row r="5" spans="1:6" x14ac:dyDescent="0.2">
      <c r="A5" t="s">
        <v>157</v>
      </c>
      <c r="B5" t="s">
        <v>166</v>
      </c>
      <c r="C5" t="s">
        <v>167</v>
      </c>
      <c r="D5" t="s">
        <v>168</v>
      </c>
      <c r="E5" t="s">
        <v>169</v>
      </c>
      <c r="F5" t="s">
        <v>170</v>
      </c>
    </row>
    <row r="6" spans="1:6" x14ac:dyDescent="0.2">
      <c r="A6">
        <v>2013</v>
      </c>
      <c r="B6">
        <v>929</v>
      </c>
      <c r="C6">
        <v>695</v>
      </c>
      <c r="D6">
        <v>4205</v>
      </c>
      <c r="E6">
        <v>23</v>
      </c>
      <c r="F6">
        <v>5852</v>
      </c>
    </row>
    <row r="7" spans="1:6" x14ac:dyDescent="0.2">
      <c r="A7">
        <v>2014</v>
      </c>
      <c r="B7">
        <v>1165</v>
      </c>
      <c r="C7">
        <v>739</v>
      </c>
      <c r="D7">
        <v>4691</v>
      </c>
      <c r="E7">
        <v>33</v>
      </c>
      <c r="F7">
        <v>6627</v>
      </c>
    </row>
    <row r="8" spans="1:6" x14ac:dyDescent="0.2">
      <c r="A8">
        <v>2015</v>
      </c>
      <c r="B8">
        <v>1052</v>
      </c>
      <c r="C8">
        <v>686</v>
      </c>
      <c r="D8">
        <v>4203</v>
      </c>
      <c r="E8">
        <v>28</v>
      </c>
      <c r="F8">
        <v>5968</v>
      </c>
    </row>
    <row r="9" spans="1:6" x14ac:dyDescent="0.2">
      <c r="A9">
        <v>2016</v>
      </c>
      <c r="B9">
        <v>1013</v>
      </c>
      <c r="C9">
        <v>643</v>
      </c>
      <c r="D9">
        <v>4043</v>
      </c>
      <c r="E9">
        <v>34</v>
      </c>
      <c r="F9">
        <v>5734</v>
      </c>
    </row>
    <row r="10" spans="1:6" x14ac:dyDescent="0.2">
      <c r="A10">
        <v>2017</v>
      </c>
      <c r="B10">
        <v>961</v>
      </c>
      <c r="C10">
        <v>783</v>
      </c>
      <c r="D10">
        <v>4295</v>
      </c>
      <c r="E10">
        <v>36</v>
      </c>
      <c r="F10">
        <v>6075</v>
      </c>
    </row>
    <row r="11" spans="1:6" x14ac:dyDescent="0.2">
      <c r="A11">
        <v>2018</v>
      </c>
      <c r="B11">
        <v>1130</v>
      </c>
      <c r="C11">
        <v>628</v>
      </c>
      <c r="D11">
        <v>5022</v>
      </c>
      <c r="E11">
        <v>47</v>
      </c>
      <c r="F11">
        <v>6827</v>
      </c>
    </row>
    <row r="12" spans="1:6" x14ac:dyDescent="0.2">
      <c r="A12">
        <v>2019</v>
      </c>
      <c r="B12">
        <v>1222</v>
      </c>
      <c r="C12">
        <v>485</v>
      </c>
      <c r="D12">
        <v>4133</v>
      </c>
      <c r="E12">
        <v>44</v>
      </c>
      <c r="F12">
        <v>5884</v>
      </c>
    </row>
    <row r="13" spans="1:6" x14ac:dyDescent="0.2">
      <c r="A13">
        <v>2020</v>
      </c>
      <c r="B13">
        <v>972</v>
      </c>
      <c r="C13">
        <v>550</v>
      </c>
      <c r="D13">
        <v>3837</v>
      </c>
      <c r="E13">
        <v>78</v>
      </c>
      <c r="F13">
        <v>5437</v>
      </c>
    </row>
    <row r="14" spans="1:6" x14ac:dyDescent="0.2">
      <c r="A14">
        <v>2021</v>
      </c>
      <c r="B14">
        <v>973</v>
      </c>
      <c r="C14">
        <v>581</v>
      </c>
      <c r="D14">
        <v>4747</v>
      </c>
      <c r="E14">
        <v>106</v>
      </c>
      <c r="F14">
        <v>6407</v>
      </c>
    </row>
    <row r="15" spans="1:6" x14ac:dyDescent="0.2">
      <c r="A15">
        <v>2022</v>
      </c>
      <c r="B15">
        <v>937</v>
      </c>
      <c r="C15">
        <v>524</v>
      </c>
      <c r="D15">
        <v>3899</v>
      </c>
      <c r="E15">
        <v>83</v>
      </c>
      <c r="F15">
        <v>5443</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5"/>
  <sheetViews>
    <sheetView zoomScaleNormal="100" zoomScalePageLayoutView="60" workbookViewId="0"/>
  </sheetViews>
  <sheetFormatPr defaultColWidth="8.375" defaultRowHeight="14.25" x14ac:dyDescent="0.2"/>
  <cols>
    <col min="1" max="1" width="9.375" customWidth="1"/>
    <col min="2" max="2" width="10.75" customWidth="1"/>
    <col min="3" max="3" width="8.625" customWidth="1"/>
    <col min="4" max="4" width="11.5" customWidth="1"/>
    <col min="5" max="5" width="12.125" customWidth="1"/>
    <col min="6" max="6" width="9.875" customWidth="1"/>
  </cols>
  <sheetData>
    <row r="1" spans="1:6" x14ac:dyDescent="0.2">
      <c r="A1" t="s">
        <v>171</v>
      </c>
    </row>
    <row r="2" spans="1:6" x14ac:dyDescent="0.2">
      <c r="A2" t="s">
        <v>172</v>
      </c>
    </row>
    <row r="3" spans="1:6" x14ac:dyDescent="0.2">
      <c r="A3" t="s">
        <v>155</v>
      </c>
    </row>
    <row r="4" spans="1:6" x14ac:dyDescent="0.2">
      <c r="A4" t="s">
        <v>173</v>
      </c>
    </row>
    <row r="5" spans="1:6" x14ac:dyDescent="0.2">
      <c r="A5" t="s">
        <v>157</v>
      </c>
      <c r="B5" t="s">
        <v>166</v>
      </c>
      <c r="C5" t="s">
        <v>167</v>
      </c>
      <c r="D5" t="s">
        <v>168</v>
      </c>
      <c r="E5" t="s">
        <v>174</v>
      </c>
      <c r="F5" t="s">
        <v>170</v>
      </c>
    </row>
    <row r="6" spans="1:6" x14ac:dyDescent="0.2">
      <c r="A6">
        <v>2013</v>
      </c>
      <c r="B6">
        <v>1187.8546100000001</v>
      </c>
      <c r="C6">
        <v>693.06358799999998</v>
      </c>
      <c r="D6">
        <v>2819.0954860000002</v>
      </c>
      <c r="E6">
        <v>383.69617199999999</v>
      </c>
      <c r="F6">
        <v>5083.7098560000004</v>
      </c>
    </row>
    <row r="7" spans="1:6" x14ac:dyDescent="0.2">
      <c r="A7">
        <v>2014</v>
      </c>
      <c r="B7">
        <v>1064.240086</v>
      </c>
      <c r="C7">
        <v>721.60688000000005</v>
      </c>
      <c r="D7">
        <v>2749.4984100000001</v>
      </c>
      <c r="E7">
        <v>364.58081099999998</v>
      </c>
      <c r="F7">
        <v>4899.926187</v>
      </c>
    </row>
    <row r="8" spans="1:6" x14ac:dyDescent="0.2">
      <c r="A8">
        <v>2015</v>
      </c>
      <c r="B8">
        <v>1022.518814</v>
      </c>
      <c r="C8">
        <v>691.95192599999996</v>
      </c>
      <c r="D8">
        <v>2643.6467560000001</v>
      </c>
      <c r="E8">
        <v>332.51400000000001</v>
      </c>
      <c r="F8">
        <v>4690.631496</v>
      </c>
    </row>
    <row r="9" spans="1:6" x14ac:dyDescent="0.2">
      <c r="A9">
        <v>2016</v>
      </c>
      <c r="B9">
        <v>1145.742334</v>
      </c>
      <c r="C9">
        <v>777.51554399999998</v>
      </c>
      <c r="D9">
        <v>2745.1057500000002</v>
      </c>
      <c r="E9">
        <v>343</v>
      </c>
      <c r="F9">
        <v>5011.3636280000001</v>
      </c>
    </row>
    <row r="10" spans="1:6" x14ac:dyDescent="0.2">
      <c r="A10">
        <v>2017</v>
      </c>
      <c r="B10">
        <v>1086.56576</v>
      </c>
      <c r="C10">
        <v>540.07315433999804</v>
      </c>
      <c r="D10">
        <v>2665.7638400000001</v>
      </c>
      <c r="E10">
        <v>348.85399999999998</v>
      </c>
      <c r="F10">
        <v>4641.25675434</v>
      </c>
    </row>
    <row r="11" spans="1:6" x14ac:dyDescent="0.2">
      <c r="A11">
        <v>2018</v>
      </c>
      <c r="B11">
        <v>1048.1532979999999</v>
      </c>
      <c r="C11">
        <v>569.55232832000104</v>
      </c>
      <c r="D11">
        <v>2438.3762000000002</v>
      </c>
      <c r="E11">
        <v>339.12299999999999</v>
      </c>
      <c r="F11">
        <v>4395.2048263200004</v>
      </c>
    </row>
    <row r="12" spans="1:6" x14ac:dyDescent="0.2">
      <c r="A12">
        <v>2019</v>
      </c>
      <c r="B12">
        <v>904.61802</v>
      </c>
      <c r="C12">
        <v>429.74899535999901</v>
      </c>
      <c r="D12">
        <v>2143.2017179999998</v>
      </c>
      <c r="E12">
        <v>364.40901000000002</v>
      </c>
      <c r="F12">
        <v>3841.9777433600002</v>
      </c>
    </row>
    <row r="13" spans="1:6" x14ac:dyDescent="0.2">
      <c r="A13">
        <v>2020</v>
      </c>
      <c r="B13">
        <v>1014.284008</v>
      </c>
      <c r="C13">
        <v>506.44588599999997</v>
      </c>
      <c r="D13">
        <v>2577.461558</v>
      </c>
      <c r="E13">
        <v>405.41672699999998</v>
      </c>
      <c r="F13">
        <v>4503.6081789999998</v>
      </c>
    </row>
    <row r="14" spans="1:6" x14ac:dyDescent="0.2">
      <c r="A14">
        <v>2021</v>
      </c>
      <c r="B14">
        <v>877.66083000000003</v>
      </c>
      <c r="C14">
        <v>546.58351000000005</v>
      </c>
      <c r="D14">
        <v>2123.379942</v>
      </c>
      <c r="E14">
        <v>340.43413500000003</v>
      </c>
      <c r="F14">
        <v>3888.0584170000002</v>
      </c>
    </row>
    <row r="15" spans="1:6" x14ac:dyDescent="0.2">
      <c r="A15">
        <v>2022</v>
      </c>
      <c r="B15">
        <v>825.41598799999997</v>
      </c>
      <c r="C15">
        <v>566.352934</v>
      </c>
      <c r="D15">
        <v>1949.68255</v>
      </c>
      <c r="E15">
        <v>367.73200000000003</v>
      </c>
      <c r="F15">
        <v>3709.1834720000002</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3"/>
  <sheetViews>
    <sheetView zoomScaleNormal="100" zoomScalePageLayoutView="60" workbookViewId="0">
      <selection activeCell="A13" sqref="A13:G16"/>
    </sheetView>
  </sheetViews>
  <sheetFormatPr defaultColWidth="8.375" defaultRowHeight="14.25" x14ac:dyDescent="0.2"/>
  <cols>
    <col min="1" max="1" width="31.25" customWidth="1"/>
    <col min="2" max="2" width="10.75" customWidth="1"/>
    <col min="3" max="3" width="8.625" customWidth="1"/>
    <col min="4" max="4" width="11.5" customWidth="1"/>
    <col min="5" max="5" width="15.5" customWidth="1"/>
    <col min="6" max="6" width="18.875" customWidth="1"/>
    <col min="7" max="7" width="18.5" customWidth="1"/>
  </cols>
  <sheetData>
    <row r="1" spans="1:7" x14ac:dyDescent="0.2">
      <c r="A1" t="s">
        <v>175</v>
      </c>
    </row>
    <row r="2" spans="1:7" x14ac:dyDescent="0.2">
      <c r="A2" t="s">
        <v>176</v>
      </c>
    </row>
    <row r="3" spans="1:7" x14ac:dyDescent="0.2">
      <c r="A3" t="s">
        <v>155</v>
      </c>
    </row>
    <row r="4" spans="1:7" x14ac:dyDescent="0.2">
      <c r="A4" t="s">
        <v>177</v>
      </c>
    </row>
    <row r="5" spans="1:7" x14ac:dyDescent="0.2">
      <c r="A5" t="s">
        <v>178</v>
      </c>
      <c r="B5" t="s">
        <v>166</v>
      </c>
      <c r="C5" t="s">
        <v>167</v>
      </c>
      <c r="D5" t="s">
        <v>168</v>
      </c>
      <c r="E5" t="s">
        <v>179</v>
      </c>
      <c r="F5" t="s">
        <v>169</v>
      </c>
      <c r="G5" t="s">
        <v>180</v>
      </c>
    </row>
    <row r="6" spans="1:7" x14ac:dyDescent="0.2">
      <c r="A6" t="s">
        <v>181</v>
      </c>
    </row>
    <row r="7" spans="1:7" x14ac:dyDescent="0.2">
      <c r="A7" t="s">
        <v>182</v>
      </c>
      <c r="B7">
        <v>1107</v>
      </c>
      <c r="C7">
        <v>1284</v>
      </c>
      <c r="D7">
        <v>3674</v>
      </c>
      <c r="E7">
        <v>6065</v>
      </c>
      <c r="F7">
        <v>498</v>
      </c>
      <c r="G7">
        <v>6563</v>
      </c>
    </row>
    <row r="8" spans="1:7" x14ac:dyDescent="0.2">
      <c r="A8" t="s">
        <v>183</v>
      </c>
      <c r="B8">
        <v>1158</v>
      </c>
      <c r="C8">
        <v>1017</v>
      </c>
      <c r="D8">
        <v>3538</v>
      </c>
      <c r="E8">
        <v>5713</v>
      </c>
      <c r="F8">
        <v>628</v>
      </c>
      <c r="G8">
        <v>6341</v>
      </c>
    </row>
    <row r="9" spans="1:7" x14ac:dyDescent="0.2">
      <c r="A9" t="s">
        <v>184</v>
      </c>
      <c r="B9">
        <v>1097</v>
      </c>
      <c r="C9">
        <v>799</v>
      </c>
      <c r="D9">
        <v>3201</v>
      </c>
      <c r="E9">
        <v>5096</v>
      </c>
      <c r="F9">
        <v>698</v>
      </c>
      <c r="G9">
        <v>5794</v>
      </c>
    </row>
    <row r="10" spans="1:7" x14ac:dyDescent="0.2">
      <c r="A10" t="s">
        <v>185</v>
      </c>
      <c r="B10">
        <v>1006</v>
      </c>
      <c r="C10">
        <v>816</v>
      </c>
      <c r="D10">
        <v>2699</v>
      </c>
      <c r="E10">
        <v>4521</v>
      </c>
      <c r="F10">
        <v>635</v>
      </c>
      <c r="G10">
        <v>5157</v>
      </c>
    </row>
    <row r="11" spans="1:7" x14ac:dyDescent="0.2">
      <c r="A11" t="s">
        <v>186</v>
      </c>
      <c r="B11">
        <v>1039</v>
      </c>
      <c r="C11">
        <v>457</v>
      </c>
      <c r="D11">
        <v>2610</v>
      </c>
      <c r="E11">
        <v>4107</v>
      </c>
      <c r="F11">
        <v>534</v>
      </c>
      <c r="G11">
        <v>4641</v>
      </c>
    </row>
    <row r="12" spans="1:7" x14ac:dyDescent="0.2">
      <c r="A12" t="s">
        <v>187</v>
      </c>
    </row>
    <row r="13" spans="1:7" x14ac:dyDescent="0.2">
      <c r="A13" t="s">
        <v>182</v>
      </c>
      <c r="B13">
        <v>2570</v>
      </c>
      <c r="C13">
        <v>843</v>
      </c>
      <c r="D13">
        <v>5092</v>
      </c>
      <c r="E13">
        <v>8505</v>
      </c>
      <c r="F13">
        <v>24</v>
      </c>
      <c r="G13">
        <v>8529</v>
      </c>
    </row>
    <row r="14" spans="1:7" x14ac:dyDescent="0.2">
      <c r="A14" t="s">
        <v>183</v>
      </c>
      <c r="B14">
        <v>2616</v>
      </c>
      <c r="C14">
        <v>683</v>
      </c>
      <c r="D14">
        <v>6529</v>
      </c>
      <c r="E14">
        <v>9828</v>
      </c>
      <c r="F14">
        <v>42</v>
      </c>
      <c r="G14">
        <v>9870</v>
      </c>
    </row>
    <row r="15" spans="1:7" x14ac:dyDescent="0.2">
      <c r="A15" t="s">
        <v>184</v>
      </c>
      <c r="B15">
        <v>2319</v>
      </c>
      <c r="C15">
        <v>773</v>
      </c>
      <c r="D15">
        <v>8608</v>
      </c>
      <c r="E15">
        <v>11700</v>
      </c>
      <c r="F15">
        <v>43</v>
      </c>
      <c r="G15">
        <v>11743</v>
      </c>
    </row>
    <row r="16" spans="1:7" x14ac:dyDescent="0.2">
      <c r="A16" t="s">
        <v>185</v>
      </c>
      <c r="B16">
        <v>2495</v>
      </c>
      <c r="C16">
        <v>870</v>
      </c>
      <c r="D16">
        <v>9609</v>
      </c>
      <c r="E16">
        <v>12974</v>
      </c>
      <c r="F16">
        <v>40</v>
      </c>
      <c r="G16">
        <v>13015</v>
      </c>
    </row>
    <row r="17" spans="1:7" x14ac:dyDescent="0.2">
      <c r="A17" t="s">
        <v>186</v>
      </c>
      <c r="B17">
        <v>2057</v>
      </c>
      <c r="C17">
        <v>790</v>
      </c>
      <c r="D17">
        <v>7965</v>
      </c>
      <c r="E17">
        <v>10812</v>
      </c>
      <c r="F17">
        <v>25</v>
      </c>
      <c r="G17">
        <v>10837</v>
      </c>
    </row>
    <row r="18" spans="1:7" x14ac:dyDescent="0.2">
      <c r="A18" t="s">
        <v>160</v>
      </c>
    </row>
    <row r="19" spans="1:7" x14ac:dyDescent="0.2">
      <c r="A19" t="s">
        <v>182</v>
      </c>
      <c r="B19">
        <v>3677</v>
      </c>
      <c r="C19">
        <v>2128</v>
      </c>
      <c r="D19">
        <v>8766</v>
      </c>
      <c r="E19">
        <v>14570</v>
      </c>
      <c r="F19">
        <v>522</v>
      </c>
      <c r="G19">
        <v>15092</v>
      </c>
    </row>
    <row r="20" spans="1:7" x14ac:dyDescent="0.2">
      <c r="A20" t="s">
        <v>183</v>
      </c>
      <c r="B20">
        <v>3774</v>
      </c>
      <c r="C20">
        <v>1700</v>
      </c>
      <c r="D20">
        <v>10067</v>
      </c>
      <c r="E20">
        <v>15541</v>
      </c>
      <c r="F20">
        <v>670</v>
      </c>
      <c r="G20">
        <v>16211</v>
      </c>
    </row>
    <row r="21" spans="1:7" x14ac:dyDescent="0.2">
      <c r="A21" t="s">
        <v>184</v>
      </c>
      <c r="B21">
        <v>3415</v>
      </c>
      <c r="C21">
        <v>1572</v>
      </c>
      <c r="D21">
        <v>11809</v>
      </c>
      <c r="E21">
        <v>16796</v>
      </c>
      <c r="F21">
        <v>741</v>
      </c>
      <c r="G21">
        <v>17537</v>
      </c>
    </row>
    <row r="22" spans="1:7" x14ac:dyDescent="0.2">
      <c r="A22" t="s">
        <v>185</v>
      </c>
      <c r="B22">
        <v>3501</v>
      </c>
      <c r="C22">
        <v>1686</v>
      </c>
      <c r="D22">
        <v>12309</v>
      </c>
      <c r="E22">
        <v>17495</v>
      </c>
      <c r="F22">
        <v>676</v>
      </c>
      <c r="G22">
        <v>18171</v>
      </c>
    </row>
    <row r="23" spans="1:7" x14ac:dyDescent="0.2">
      <c r="A23" t="s">
        <v>186</v>
      </c>
      <c r="B23">
        <v>3096</v>
      </c>
      <c r="C23">
        <v>1248</v>
      </c>
      <c r="D23">
        <v>10575</v>
      </c>
      <c r="E23">
        <v>14919</v>
      </c>
      <c r="F23">
        <v>558</v>
      </c>
      <c r="G23">
        <v>15477</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8"/>
  <sheetViews>
    <sheetView zoomScaleNormal="100" zoomScalePageLayoutView="60" workbookViewId="0"/>
  </sheetViews>
  <sheetFormatPr defaultColWidth="8.375" defaultRowHeight="14.25" x14ac:dyDescent="0.2"/>
  <cols>
    <col min="1" max="1" width="31.375" customWidth="1"/>
    <col min="2" max="2" width="10.75" customWidth="1"/>
    <col min="3" max="3" width="8.625" customWidth="1"/>
    <col min="4" max="4" width="11.5" customWidth="1"/>
    <col min="5" max="5" width="15.5" customWidth="1"/>
  </cols>
  <sheetData>
    <row r="1" spans="1:5" x14ac:dyDescent="0.2">
      <c r="A1" t="s">
        <v>188</v>
      </c>
    </row>
    <row r="2" spans="1:5" x14ac:dyDescent="0.2">
      <c r="A2" t="s">
        <v>189</v>
      </c>
    </row>
    <row r="3" spans="1:5" x14ac:dyDescent="0.2">
      <c r="A3" t="s">
        <v>155</v>
      </c>
    </row>
    <row r="4" spans="1:5" x14ac:dyDescent="0.2">
      <c r="A4" t="s">
        <v>177</v>
      </c>
    </row>
    <row r="5" spans="1:5" x14ac:dyDescent="0.2">
      <c r="A5" t="s">
        <v>178</v>
      </c>
      <c r="B5" t="s">
        <v>166</v>
      </c>
      <c r="C5" t="s">
        <v>167</v>
      </c>
      <c r="D5" t="s">
        <v>168</v>
      </c>
      <c r="E5" t="s">
        <v>190</v>
      </c>
    </row>
    <row r="6" spans="1:5" x14ac:dyDescent="0.2">
      <c r="A6" t="s">
        <v>191</v>
      </c>
    </row>
    <row r="7" spans="1:5" x14ac:dyDescent="0.2">
      <c r="A7" t="s">
        <v>192</v>
      </c>
      <c r="B7">
        <v>126</v>
      </c>
      <c r="C7">
        <v>12</v>
      </c>
      <c r="D7">
        <v>9</v>
      </c>
      <c r="E7">
        <v>147</v>
      </c>
    </row>
    <row r="8" spans="1:5" x14ac:dyDescent="0.2">
      <c r="A8" t="s">
        <v>193</v>
      </c>
      <c r="B8">
        <v>92</v>
      </c>
      <c r="C8">
        <v>11</v>
      </c>
      <c r="D8">
        <v>9</v>
      </c>
      <c r="E8">
        <v>111</v>
      </c>
    </row>
    <row r="9" spans="1:5" x14ac:dyDescent="0.2">
      <c r="A9" t="s">
        <v>182</v>
      </c>
      <c r="B9">
        <v>110</v>
      </c>
      <c r="C9">
        <v>17</v>
      </c>
      <c r="D9">
        <v>10</v>
      </c>
      <c r="E9">
        <v>137</v>
      </c>
    </row>
    <row r="10" spans="1:5" x14ac:dyDescent="0.2">
      <c r="A10" t="s">
        <v>183</v>
      </c>
      <c r="B10">
        <v>86</v>
      </c>
      <c r="C10">
        <v>12</v>
      </c>
      <c r="D10">
        <v>10</v>
      </c>
      <c r="E10">
        <v>108</v>
      </c>
    </row>
    <row r="11" spans="1:5" x14ac:dyDescent="0.2">
      <c r="A11" t="s">
        <v>184</v>
      </c>
      <c r="B11">
        <v>99</v>
      </c>
      <c r="C11">
        <v>14</v>
      </c>
      <c r="D11">
        <v>15</v>
      </c>
      <c r="E11">
        <v>128</v>
      </c>
    </row>
    <row r="12" spans="1:5" x14ac:dyDescent="0.2">
      <c r="A12" t="s">
        <v>185</v>
      </c>
      <c r="B12">
        <v>129</v>
      </c>
      <c r="C12">
        <v>19</v>
      </c>
      <c r="D12">
        <v>24</v>
      </c>
      <c r="E12">
        <v>172</v>
      </c>
    </row>
    <row r="13" spans="1:5" x14ac:dyDescent="0.2">
      <c r="A13" t="s">
        <v>186</v>
      </c>
      <c r="B13">
        <v>189</v>
      </c>
      <c r="C13">
        <v>56</v>
      </c>
      <c r="D13">
        <v>31</v>
      </c>
      <c r="E13">
        <v>276</v>
      </c>
    </row>
    <row r="14" spans="1:5" x14ac:dyDescent="0.2">
      <c r="A14" t="s">
        <v>194</v>
      </c>
      <c r="B14">
        <v>116</v>
      </c>
      <c r="C14">
        <v>19</v>
      </c>
      <c r="D14">
        <v>40</v>
      </c>
      <c r="E14">
        <v>175</v>
      </c>
    </row>
    <row r="15" spans="1:5" x14ac:dyDescent="0.2">
      <c r="A15" t="s">
        <v>195</v>
      </c>
      <c r="B15">
        <v>134</v>
      </c>
      <c r="C15">
        <v>28</v>
      </c>
      <c r="D15">
        <v>45</v>
      </c>
      <c r="E15">
        <v>208</v>
      </c>
    </row>
    <row r="16" spans="1:5" x14ac:dyDescent="0.2">
      <c r="A16" t="s">
        <v>196</v>
      </c>
      <c r="B16">
        <v>146</v>
      </c>
      <c r="C16">
        <v>28</v>
      </c>
      <c r="D16">
        <v>64</v>
      </c>
      <c r="E16">
        <v>237</v>
      </c>
    </row>
    <row r="17" spans="1:5" x14ac:dyDescent="0.2">
      <c r="A17" t="s">
        <v>197</v>
      </c>
    </row>
    <row r="18" spans="1:5" x14ac:dyDescent="0.2">
      <c r="A18" t="s">
        <v>192</v>
      </c>
      <c r="B18">
        <v>122</v>
      </c>
      <c r="C18">
        <v>20</v>
      </c>
      <c r="D18">
        <v>83</v>
      </c>
      <c r="E18">
        <v>225</v>
      </c>
    </row>
    <row r="19" spans="1:5" x14ac:dyDescent="0.2">
      <c r="A19" t="s">
        <v>193</v>
      </c>
      <c r="B19">
        <v>333</v>
      </c>
      <c r="C19">
        <v>46</v>
      </c>
      <c r="D19">
        <v>139</v>
      </c>
      <c r="E19">
        <v>519</v>
      </c>
    </row>
    <row r="20" spans="1:5" x14ac:dyDescent="0.2">
      <c r="A20" t="s">
        <v>182</v>
      </c>
      <c r="B20">
        <v>538</v>
      </c>
      <c r="C20">
        <v>77</v>
      </c>
      <c r="D20">
        <v>193</v>
      </c>
      <c r="E20">
        <v>808</v>
      </c>
    </row>
    <row r="21" spans="1:5" x14ac:dyDescent="0.2">
      <c r="A21" t="s">
        <v>183</v>
      </c>
      <c r="B21">
        <v>720</v>
      </c>
      <c r="C21">
        <v>100</v>
      </c>
      <c r="D21">
        <v>233</v>
      </c>
      <c r="E21">
        <v>1054</v>
      </c>
    </row>
    <row r="22" spans="1:5" x14ac:dyDescent="0.2">
      <c r="A22" t="s">
        <v>184</v>
      </c>
      <c r="B22">
        <v>825</v>
      </c>
      <c r="C22">
        <v>115</v>
      </c>
      <c r="D22">
        <v>262</v>
      </c>
      <c r="E22">
        <v>1202</v>
      </c>
    </row>
    <row r="23" spans="1:5" x14ac:dyDescent="0.2">
      <c r="A23" t="s">
        <v>185</v>
      </c>
      <c r="B23">
        <v>1047</v>
      </c>
      <c r="C23">
        <v>153</v>
      </c>
      <c r="D23">
        <v>367</v>
      </c>
      <c r="E23">
        <v>1567</v>
      </c>
    </row>
    <row r="24" spans="1:5" x14ac:dyDescent="0.2">
      <c r="A24" t="s">
        <v>186</v>
      </c>
      <c r="B24">
        <v>1915</v>
      </c>
      <c r="C24">
        <v>243</v>
      </c>
      <c r="D24">
        <v>586</v>
      </c>
      <c r="E24">
        <v>2743</v>
      </c>
    </row>
    <row r="25" spans="1:5" x14ac:dyDescent="0.2">
      <c r="A25" t="s">
        <v>194</v>
      </c>
      <c r="B25">
        <v>1678</v>
      </c>
      <c r="C25">
        <v>227</v>
      </c>
      <c r="D25">
        <v>675</v>
      </c>
      <c r="E25">
        <v>2580</v>
      </c>
    </row>
    <row r="26" spans="1:5" x14ac:dyDescent="0.2">
      <c r="A26" t="s">
        <v>195</v>
      </c>
      <c r="B26">
        <v>1254</v>
      </c>
      <c r="C26">
        <v>198</v>
      </c>
      <c r="D26">
        <v>554</v>
      </c>
      <c r="E26">
        <v>2006</v>
      </c>
    </row>
    <row r="27" spans="1:5" x14ac:dyDescent="0.2">
      <c r="A27" t="s">
        <v>196</v>
      </c>
      <c r="B27">
        <v>645</v>
      </c>
      <c r="C27">
        <v>139</v>
      </c>
      <c r="D27">
        <v>343</v>
      </c>
      <c r="E27">
        <v>1127</v>
      </c>
    </row>
    <row r="28" spans="1:5" x14ac:dyDescent="0.2">
      <c r="A28" t="s">
        <v>198</v>
      </c>
    </row>
    <row r="29" spans="1:5" x14ac:dyDescent="0.2">
      <c r="A29" t="s">
        <v>192</v>
      </c>
      <c r="B29">
        <v>249</v>
      </c>
      <c r="C29">
        <v>32</v>
      </c>
      <c r="D29">
        <v>92</v>
      </c>
      <c r="E29">
        <v>373</v>
      </c>
    </row>
    <row r="30" spans="1:5" x14ac:dyDescent="0.2">
      <c r="A30" t="s">
        <v>193</v>
      </c>
      <c r="B30">
        <v>425</v>
      </c>
      <c r="C30">
        <v>58</v>
      </c>
      <c r="D30">
        <v>148</v>
      </c>
      <c r="E30">
        <v>631</v>
      </c>
    </row>
    <row r="31" spans="1:5" x14ac:dyDescent="0.2">
      <c r="A31" t="s">
        <v>182</v>
      </c>
      <c r="B31">
        <v>648</v>
      </c>
      <c r="C31">
        <v>94</v>
      </c>
      <c r="D31">
        <v>203</v>
      </c>
      <c r="E31">
        <v>945</v>
      </c>
    </row>
    <row r="32" spans="1:5" x14ac:dyDescent="0.2">
      <c r="A32" t="s">
        <v>183</v>
      </c>
      <c r="B32">
        <v>806</v>
      </c>
      <c r="C32">
        <v>112</v>
      </c>
      <c r="D32">
        <v>244</v>
      </c>
      <c r="E32">
        <v>1162</v>
      </c>
    </row>
    <row r="33" spans="1:5" x14ac:dyDescent="0.2">
      <c r="A33" t="s">
        <v>184</v>
      </c>
      <c r="B33">
        <v>923</v>
      </c>
      <c r="C33">
        <v>130</v>
      </c>
      <c r="D33">
        <v>277</v>
      </c>
      <c r="E33">
        <v>1330</v>
      </c>
    </row>
    <row r="34" spans="1:5" x14ac:dyDescent="0.2">
      <c r="A34" t="s">
        <v>185</v>
      </c>
      <c r="B34">
        <v>1176</v>
      </c>
      <c r="C34">
        <v>171</v>
      </c>
      <c r="D34">
        <v>391</v>
      </c>
      <c r="E34">
        <v>1738</v>
      </c>
    </row>
    <row r="35" spans="1:5" x14ac:dyDescent="0.2">
      <c r="A35" t="s">
        <v>186</v>
      </c>
      <c r="B35">
        <v>2104</v>
      </c>
      <c r="C35">
        <v>299</v>
      </c>
      <c r="D35">
        <v>616</v>
      </c>
      <c r="E35">
        <v>3019</v>
      </c>
    </row>
    <row r="36" spans="1:5" x14ac:dyDescent="0.2">
      <c r="A36" t="s">
        <v>194</v>
      </c>
      <c r="B36">
        <v>1795</v>
      </c>
      <c r="C36">
        <v>246</v>
      </c>
      <c r="D36">
        <v>715</v>
      </c>
      <c r="E36">
        <v>2755</v>
      </c>
    </row>
    <row r="37" spans="1:5" x14ac:dyDescent="0.2">
      <c r="A37" t="s">
        <v>195</v>
      </c>
      <c r="B37">
        <v>1388</v>
      </c>
      <c r="C37">
        <v>227</v>
      </c>
      <c r="D37">
        <v>599</v>
      </c>
      <c r="E37">
        <v>2214</v>
      </c>
    </row>
    <row r="38" spans="1:5" x14ac:dyDescent="0.2">
      <c r="A38" t="s">
        <v>196</v>
      </c>
      <c r="B38">
        <v>791</v>
      </c>
      <c r="C38">
        <v>167</v>
      </c>
      <c r="D38">
        <v>406</v>
      </c>
      <c r="E38">
        <v>1364</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5"/>
  <sheetViews>
    <sheetView zoomScaleNormal="100" zoomScalePageLayoutView="60" workbookViewId="0"/>
  </sheetViews>
  <sheetFormatPr defaultColWidth="8.375" defaultRowHeight="14.25" x14ac:dyDescent="0.2"/>
  <cols>
    <col min="2" max="2" width="11.375" customWidth="1"/>
    <col min="3" max="3" width="12.25" customWidth="1"/>
    <col min="4" max="4" width="22.25" customWidth="1"/>
    <col min="5" max="5" width="21" customWidth="1"/>
    <col min="6" max="6" width="21.625" customWidth="1"/>
    <col min="7" max="7" width="17.875" customWidth="1"/>
    <col min="8" max="8" width="10.5" customWidth="1"/>
    <col min="9" max="9" width="8.875" customWidth="1"/>
  </cols>
  <sheetData>
    <row r="1" spans="1:9" x14ac:dyDescent="0.2">
      <c r="A1" t="s">
        <v>199</v>
      </c>
    </row>
    <row r="2" spans="1:9" x14ac:dyDescent="0.2">
      <c r="A2" t="s">
        <v>200</v>
      </c>
    </row>
    <row r="3" spans="1:9" x14ac:dyDescent="0.2">
      <c r="A3" t="s">
        <v>155</v>
      </c>
    </row>
    <row r="4" spans="1:9" x14ac:dyDescent="0.2">
      <c r="A4" t="s">
        <v>201</v>
      </c>
    </row>
    <row r="5" spans="1:9" x14ac:dyDescent="0.2">
      <c r="A5" t="s">
        <v>157</v>
      </c>
      <c r="B5" t="s">
        <v>202</v>
      </c>
      <c r="C5" t="s">
        <v>203</v>
      </c>
      <c r="D5" t="s">
        <v>204</v>
      </c>
      <c r="E5" t="s">
        <v>205</v>
      </c>
      <c r="F5" t="s">
        <v>206</v>
      </c>
      <c r="G5" t="s">
        <v>207</v>
      </c>
      <c r="H5" t="s">
        <v>208</v>
      </c>
      <c r="I5" t="s">
        <v>209</v>
      </c>
    </row>
    <row r="6" spans="1:9" x14ac:dyDescent="0.2">
      <c r="A6">
        <v>2013</v>
      </c>
      <c r="B6">
        <v>6418</v>
      </c>
      <c r="C6">
        <v>465</v>
      </c>
      <c r="D6">
        <v>1263</v>
      </c>
      <c r="E6">
        <v>332</v>
      </c>
      <c r="F6">
        <v>1250</v>
      </c>
      <c r="G6">
        <v>191</v>
      </c>
      <c r="H6">
        <v>640</v>
      </c>
      <c r="I6">
        <v>10559</v>
      </c>
    </row>
    <row r="7" spans="1:9" x14ac:dyDescent="0.2">
      <c r="A7">
        <v>2014</v>
      </c>
      <c r="B7">
        <v>6737</v>
      </c>
      <c r="C7">
        <v>465</v>
      </c>
      <c r="D7">
        <v>1283</v>
      </c>
      <c r="E7">
        <v>317</v>
      </c>
      <c r="F7">
        <v>1500</v>
      </c>
      <c r="G7">
        <v>176</v>
      </c>
      <c r="H7">
        <v>437</v>
      </c>
      <c r="I7">
        <v>10914</v>
      </c>
    </row>
    <row r="8" spans="1:9" x14ac:dyDescent="0.2">
      <c r="A8">
        <v>2015</v>
      </c>
      <c r="B8">
        <v>6179</v>
      </c>
      <c r="C8">
        <v>435</v>
      </c>
      <c r="D8">
        <v>1334</v>
      </c>
      <c r="E8">
        <v>288</v>
      </c>
      <c r="F8">
        <v>1600</v>
      </c>
      <c r="G8">
        <v>164</v>
      </c>
      <c r="H8">
        <v>276</v>
      </c>
      <c r="I8">
        <v>10276</v>
      </c>
    </row>
    <row r="9" spans="1:9" x14ac:dyDescent="0.2">
      <c r="A9">
        <v>2016</v>
      </c>
      <c r="B9">
        <v>6522</v>
      </c>
      <c r="C9">
        <v>423</v>
      </c>
      <c r="D9">
        <v>1248</v>
      </c>
      <c r="E9">
        <v>277</v>
      </c>
      <c r="F9">
        <v>1550</v>
      </c>
      <c r="G9">
        <v>178</v>
      </c>
      <c r="H9">
        <v>231</v>
      </c>
      <c r="I9">
        <v>10430</v>
      </c>
    </row>
    <row r="10" spans="1:9" x14ac:dyDescent="0.2">
      <c r="A10">
        <v>2017</v>
      </c>
      <c r="B10">
        <v>6586</v>
      </c>
      <c r="C10">
        <v>442</v>
      </c>
      <c r="D10">
        <v>1059</v>
      </c>
      <c r="E10">
        <v>283</v>
      </c>
      <c r="F10">
        <v>1600</v>
      </c>
      <c r="G10">
        <v>170</v>
      </c>
      <c r="H10">
        <v>331</v>
      </c>
      <c r="I10">
        <v>10471</v>
      </c>
    </row>
    <row r="11" spans="1:9" x14ac:dyDescent="0.2">
      <c r="A11">
        <v>2018</v>
      </c>
      <c r="B11">
        <v>6337</v>
      </c>
      <c r="C11">
        <v>486</v>
      </c>
      <c r="D11">
        <v>1210</v>
      </c>
      <c r="E11">
        <v>255</v>
      </c>
      <c r="F11">
        <v>1900</v>
      </c>
      <c r="G11">
        <v>174</v>
      </c>
      <c r="H11">
        <v>264</v>
      </c>
      <c r="I11">
        <v>10626</v>
      </c>
    </row>
    <row r="12" spans="1:9" x14ac:dyDescent="0.2">
      <c r="A12">
        <v>2019</v>
      </c>
      <c r="B12">
        <v>5898</v>
      </c>
      <c r="C12">
        <v>464</v>
      </c>
      <c r="D12">
        <v>1316</v>
      </c>
      <c r="E12">
        <v>262</v>
      </c>
      <c r="F12">
        <v>1900</v>
      </c>
      <c r="G12">
        <v>183</v>
      </c>
      <c r="H12">
        <v>201</v>
      </c>
      <c r="I12">
        <v>10225</v>
      </c>
    </row>
    <row r="13" spans="1:9" x14ac:dyDescent="0.2">
      <c r="A13">
        <v>2020</v>
      </c>
      <c r="B13">
        <v>5837</v>
      </c>
      <c r="C13">
        <v>383</v>
      </c>
      <c r="D13">
        <v>1248</v>
      </c>
      <c r="E13">
        <v>258</v>
      </c>
      <c r="F13">
        <v>1850</v>
      </c>
      <c r="G13">
        <v>188</v>
      </c>
      <c r="H13">
        <v>140</v>
      </c>
      <c r="I13">
        <v>9904</v>
      </c>
    </row>
    <row r="14" spans="1:9" x14ac:dyDescent="0.2">
      <c r="A14">
        <v>2021</v>
      </c>
      <c r="B14">
        <v>6268</v>
      </c>
      <c r="C14">
        <v>399</v>
      </c>
      <c r="D14">
        <v>1508</v>
      </c>
      <c r="E14">
        <v>247</v>
      </c>
      <c r="F14">
        <v>1600</v>
      </c>
      <c r="G14">
        <v>176</v>
      </c>
      <c r="H14">
        <v>168</v>
      </c>
      <c r="I14">
        <v>10366</v>
      </c>
    </row>
    <row r="15" spans="1:9" x14ac:dyDescent="0.2">
      <c r="A15">
        <v>2022</v>
      </c>
      <c r="B15">
        <v>5452</v>
      </c>
      <c r="C15">
        <v>403</v>
      </c>
      <c r="D15">
        <v>1229</v>
      </c>
      <c r="E15">
        <v>232</v>
      </c>
      <c r="F15">
        <v>1600</v>
      </c>
      <c r="G15">
        <v>176</v>
      </c>
      <c r="H15">
        <v>132</v>
      </c>
      <c r="I15">
        <v>9224</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4"/>
  <sheetViews>
    <sheetView tabSelected="1" zoomScaleNormal="100" zoomScalePageLayoutView="60" workbookViewId="0"/>
  </sheetViews>
  <sheetFormatPr defaultColWidth="8.375" defaultRowHeight="14.25" x14ac:dyDescent="0.2"/>
  <cols>
    <col min="1" max="1" width="10.75" customWidth="1"/>
    <col min="2" max="2" width="11.375" customWidth="1"/>
    <col min="3" max="3" width="11.75" customWidth="1"/>
    <col min="4" max="4" width="22.25" customWidth="1"/>
    <col min="5" max="5" width="10.5" customWidth="1"/>
    <col min="6" max="6" width="21.625" customWidth="1"/>
    <col min="7" max="7" width="32.25" customWidth="1"/>
    <col min="8" max="8" width="8.875" customWidth="1"/>
  </cols>
  <sheetData>
    <row r="1" spans="1:8" x14ac:dyDescent="0.2">
      <c r="A1" t="s">
        <v>210</v>
      </c>
    </row>
    <row r="2" spans="1:8" x14ac:dyDescent="0.2">
      <c r="A2" t="s">
        <v>200</v>
      </c>
    </row>
    <row r="3" spans="1:8" x14ac:dyDescent="0.2">
      <c r="A3" t="s">
        <v>155</v>
      </c>
    </row>
    <row r="4" spans="1:8" x14ac:dyDescent="0.2">
      <c r="A4" t="s">
        <v>201</v>
      </c>
    </row>
    <row r="5" spans="1:8" x14ac:dyDescent="0.2">
      <c r="A5" t="s">
        <v>157</v>
      </c>
      <c r="B5" t="s">
        <v>202</v>
      </c>
      <c r="C5" t="s">
        <v>211</v>
      </c>
      <c r="D5" t="s">
        <v>204</v>
      </c>
      <c r="E5" t="s">
        <v>205</v>
      </c>
      <c r="F5" t="s">
        <v>206</v>
      </c>
      <c r="G5" t="s">
        <v>212</v>
      </c>
      <c r="H5" t="s">
        <v>209</v>
      </c>
    </row>
    <row r="6" spans="1:8" x14ac:dyDescent="0.2">
      <c r="A6">
        <v>1994</v>
      </c>
      <c r="B6">
        <v>4128</v>
      </c>
      <c r="C6">
        <v>1104</v>
      </c>
      <c r="D6">
        <v>1407</v>
      </c>
      <c r="E6">
        <v>454</v>
      </c>
      <c r="F6">
        <v>100</v>
      </c>
      <c r="G6">
        <v>84</v>
      </c>
      <c r="H6">
        <v>7277</v>
      </c>
    </row>
    <row r="7" spans="1:8" x14ac:dyDescent="0.2">
      <c r="A7">
        <v>1995</v>
      </c>
      <c r="B7">
        <v>4088</v>
      </c>
      <c r="C7">
        <v>1106</v>
      </c>
      <c r="D7">
        <v>1699</v>
      </c>
      <c r="E7">
        <v>435</v>
      </c>
      <c r="F7">
        <v>100</v>
      </c>
      <c r="G7">
        <v>42</v>
      </c>
      <c r="H7">
        <v>7471</v>
      </c>
    </row>
    <row r="8" spans="1:8" x14ac:dyDescent="0.2">
      <c r="A8">
        <v>1996</v>
      </c>
      <c r="B8">
        <v>4003</v>
      </c>
      <c r="C8">
        <v>853</v>
      </c>
      <c r="D8">
        <v>1500</v>
      </c>
      <c r="E8">
        <v>385</v>
      </c>
      <c r="F8">
        <v>100</v>
      </c>
      <c r="G8">
        <v>34</v>
      </c>
      <c r="H8">
        <v>6876</v>
      </c>
    </row>
    <row r="9" spans="1:8" x14ac:dyDescent="0.2">
      <c r="A9">
        <v>1997</v>
      </c>
      <c r="B9">
        <v>4073</v>
      </c>
      <c r="C9">
        <v>940</v>
      </c>
      <c r="D9">
        <v>1690</v>
      </c>
      <c r="E9">
        <v>371</v>
      </c>
      <c r="F9">
        <v>100</v>
      </c>
      <c r="G9">
        <v>33</v>
      </c>
      <c r="H9">
        <v>7207</v>
      </c>
    </row>
    <row r="10" spans="1:8" x14ac:dyDescent="0.2">
      <c r="A10">
        <v>1998</v>
      </c>
      <c r="B10">
        <v>4144</v>
      </c>
      <c r="C10">
        <v>844</v>
      </c>
      <c r="D10">
        <v>1527</v>
      </c>
      <c r="E10">
        <v>401</v>
      </c>
      <c r="F10">
        <v>100</v>
      </c>
      <c r="G10">
        <v>33</v>
      </c>
      <c r="H10">
        <v>7050</v>
      </c>
    </row>
    <row r="11" spans="1:8" x14ac:dyDescent="0.2">
      <c r="A11">
        <v>1999</v>
      </c>
      <c r="B11">
        <v>4450</v>
      </c>
      <c r="C11">
        <v>660</v>
      </c>
      <c r="D11">
        <v>1613</v>
      </c>
      <c r="E11">
        <v>385</v>
      </c>
      <c r="F11">
        <v>100</v>
      </c>
      <c r="G11">
        <v>56</v>
      </c>
      <c r="H11">
        <v>7264</v>
      </c>
    </row>
    <row r="12" spans="1:8" x14ac:dyDescent="0.2">
      <c r="A12">
        <v>2000</v>
      </c>
      <c r="B12">
        <v>4474</v>
      </c>
      <c r="C12">
        <v>695</v>
      </c>
      <c r="D12">
        <v>1685</v>
      </c>
      <c r="E12">
        <v>347</v>
      </c>
      <c r="F12">
        <v>100</v>
      </c>
      <c r="G12">
        <v>48</v>
      </c>
      <c r="H12">
        <v>7349</v>
      </c>
    </row>
    <row r="13" spans="1:8" x14ac:dyDescent="0.2">
      <c r="A13">
        <v>2001</v>
      </c>
      <c r="B13">
        <v>4596</v>
      </c>
      <c r="C13">
        <v>668</v>
      </c>
      <c r="D13">
        <v>1680</v>
      </c>
      <c r="E13">
        <v>324</v>
      </c>
      <c r="F13">
        <v>100</v>
      </c>
      <c r="G13">
        <v>92</v>
      </c>
      <c r="H13">
        <v>7460</v>
      </c>
    </row>
    <row r="14" spans="1:8" x14ac:dyDescent="0.2">
      <c r="A14">
        <v>2002</v>
      </c>
      <c r="B14">
        <v>4674</v>
      </c>
      <c r="C14">
        <v>696</v>
      </c>
      <c r="D14">
        <v>1456</v>
      </c>
      <c r="E14">
        <v>289</v>
      </c>
      <c r="F14">
        <v>100</v>
      </c>
      <c r="G14">
        <v>162</v>
      </c>
      <c r="H14">
        <v>7377</v>
      </c>
    </row>
    <row r="15" spans="1:8" x14ac:dyDescent="0.2">
      <c r="A15">
        <v>2003</v>
      </c>
      <c r="B15">
        <v>4809</v>
      </c>
      <c r="C15">
        <v>704</v>
      </c>
      <c r="D15">
        <v>1486</v>
      </c>
      <c r="E15">
        <v>264</v>
      </c>
      <c r="F15">
        <v>100</v>
      </c>
      <c r="G15">
        <v>352</v>
      </c>
      <c r="H15">
        <v>7716</v>
      </c>
    </row>
    <row r="16" spans="1:8" x14ac:dyDescent="0.2">
      <c r="A16">
        <v>2004</v>
      </c>
      <c r="B16">
        <v>4949</v>
      </c>
      <c r="C16">
        <v>483</v>
      </c>
      <c r="D16">
        <v>1525</v>
      </c>
      <c r="E16">
        <v>272</v>
      </c>
      <c r="F16">
        <v>100</v>
      </c>
      <c r="G16">
        <v>689</v>
      </c>
      <c r="H16">
        <v>8018</v>
      </c>
    </row>
    <row r="17" spans="1:8" x14ac:dyDescent="0.2">
      <c r="A17">
        <v>2005</v>
      </c>
      <c r="B17">
        <v>4923</v>
      </c>
      <c r="C17">
        <v>500</v>
      </c>
      <c r="D17">
        <v>1502</v>
      </c>
      <c r="E17">
        <v>317</v>
      </c>
      <c r="F17">
        <v>100</v>
      </c>
      <c r="G17">
        <v>800</v>
      </c>
      <c r="H17">
        <v>8142</v>
      </c>
    </row>
    <row r="18" spans="1:8" x14ac:dyDescent="0.2">
      <c r="A18">
        <v>2006</v>
      </c>
      <c r="B18">
        <v>5207</v>
      </c>
      <c r="C18">
        <v>481</v>
      </c>
      <c r="D18">
        <v>1365</v>
      </c>
      <c r="E18">
        <v>274</v>
      </c>
      <c r="F18">
        <v>100</v>
      </c>
      <c r="G18">
        <v>757</v>
      </c>
      <c r="H18">
        <v>8184</v>
      </c>
    </row>
    <row r="19" spans="1:8" x14ac:dyDescent="0.2">
      <c r="A19">
        <v>2007</v>
      </c>
      <c r="B19">
        <v>5562</v>
      </c>
      <c r="C19">
        <v>472</v>
      </c>
      <c r="D19">
        <v>1362</v>
      </c>
      <c r="E19">
        <v>319</v>
      </c>
      <c r="F19">
        <v>200</v>
      </c>
      <c r="G19">
        <v>873</v>
      </c>
      <c r="H19">
        <v>8787</v>
      </c>
    </row>
    <row r="20" spans="1:8" x14ac:dyDescent="0.2">
      <c r="A20">
        <v>2008</v>
      </c>
      <c r="B20">
        <v>4938</v>
      </c>
      <c r="C20">
        <v>515</v>
      </c>
      <c r="D20">
        <v>1219</v>
      </c>
      <c r="E20">
        <v>359</v>
      </c>
      <c r="F20">
        <v>300</v>
      </c>
      <c r="G20">
        <v>860</v>
      </c>
      <c r="H20">
        <v>8192</v>
      </c>
    </row>
    <row r="21" spans="1:8" x14ac:dyDescent="0.2">
      <c r="A21">
        <v>2009</v>
      </c>
      <c r="B21">
        <v>5148</v>
      </c>
      <c r="C21">
        <v>511</v>
      </c>
      <c r="D21">
        <v>1135</v>
      </c>
      <c r="E21">
        <v>367</v>
      </c>
      <c r="F21">
        <v>650</v>
      </c>
      <c r="G21">
        <v>508</v>
      </c>
      <c r="H21">
        <v>8319</v>
      </c>
    </row>
    <row r="22" spans="1:8" x14ac:dyDescent="0.2">
      <c r="A22">
        <v>2010</v>
      </c>
      <c r="B22">
        <v>5627</v>
      </c>
      <c r="C22">
        <v>428</v>
      </c>
      <c r="D22">
        <v>1375</v>
      </c>
      <c r="E22">
        <v>349</v>
      </c>
      <c r="F22">
        <v>900</v>
      </c>
      <c r="G22">
        <v>602</v>
      </c>
      <c r="H22">
        <v>9280</v>
      </c>
    </row>
    <row r="23" spans="1:8" x14ac:dyDescent="0.2">
      <c r="A23">
        <v>2011</v>
      </c>
      <c r="B23">
        <v>5870</v>
      </c>
      <c r="C23">
        <v>453</v>
      </c>
      <c r="D23">
        <v>1417</v>
      </c>
      <c r="E23">
        <v>363</v>
      </c>
      <c r="F23">
        <v>900</v>
      </c>
      <c r="G23">
        <v>730</v>
      </c>
      <c r="H23">
        <v>9733</v>
      </c>
    </row>
    <row r="24" spans="1:8" x14ac:dyDescent="0.2">
      <c r="A24">
        <v>2012</v>
      </c>
      <c r="B24">
        <v>6084</v>
      </c>
      <c r="C24">
        <v>461</v>
      </c>
      <c r="D24">
        <v>1269</v>
      </c>
      <c r="E24">
        <v>338</v>
      </c>
      <c r="F24">
        <v>1000</v>
      </c>
      <c r="G24">
        <v>689</v>
      </c>
      <c r="H24">
        <v>9842</v>
      </c>
    </row>
    <row r="25" spans="1:8" x14ac:dyDescent="0.2">
      <c r="A25">
        <v>2013</v>
      </c>
      <c r="B25">
        <v>6418</v>
      </c>
      <c r="C25">
        <v>465</v>
      </c>
      <c r="D25">
        <v>1263</v>
      </c>
      <c r="E25">
        <v>332</v>
      </c>
      <c r="F25">
        <v>1250</v>
      </c>
      <c r="G25">
        <v>831</v>
      </c>
      <c r="H25">
        <v>10559</v>
      </c>
    </row>
    <row r="26" spans="1:8" x14ac:dyDescent="0.2">
      <c r="A26">
        <v>2014</v>
      </c>
      <c r="B26">
        <v>6737</v>
      </c>
      <c r="C26">
        <v>465</v>
      </c>
      <c r="D26">
        <v>1283</v>
      </c>
      <c r="E26">
        <v>317</v>
      </c>
      <c r="F26">
        <v>1500</v>
      </c>
      <c r="G26">
        <v>613</v>
      </c>
      <c r="H26">
        <v>10914</v>
      </c>
    </row>
    <row r="27" spans="1:8" x14ac:dyDescent="0.2">
      <c r="A27">
        <v>2015</v>
      </c>
      <c r="B27">
        <v>6179</v>
      </c>
      <c r="C27">
        <v>435</v>
      </c>
      <c r="D27">
        <v>1334</v>
      </c>
      <c r="E27">
        <v>288</v>
      </c>
      <c r="F27">
        <v>1600</v>
      </c>
      <c r="G27">
        <v>441</v>
      </c>
      <c r="H27">
        <v>10276</v>
      </c>
    </row>
    <row r="28" spans="1:8" x14ac:dyDescent="0.2">
      <c r="A28">
        <v>2016</v>
      </c>
      <c r="B28">
        <v>6522</v>
      </c>
      <c r="C28">
        <v>423</v>
      </c>
      <c r="D28">
        <v>1248</v>
      </c>
      <c r="E28">
        <v>277</v>
      </c>
      <c r="F28">
        <v>1550</v>
      </c>
      <c r="G28">
        <v>409</v>
      </c>
      <c r="H28">
        <v>10430</v>
      </c>
    </row>
    <row r="29" spans="1:8" x14ac:dyDescent="0.2">
      <c r="A29">
        <v>2017</v>
      </c>
      <c r="B29">
        <v>6586</v>
      </c>
      <c r="C29">
        <v>442</v>
      </c>
      <c r="D29">
        <v>1059</v>
      </c>
      <c r="E29">
        <v>283</v>
      </c>
      <c r="F29">
        <v>1600</v>
      </c>
      <c r="G29">
        <v>501</v>
      </c>
      <c r="H29">
        <v>10471</v>
      </c>
    </row>
    <row r="30" spans="1:8" x14ac:dyDescent="0.2">
      <c r="A30">
        <v>2018</v>
      </c>
      <c r="B30">
        <v>6337</v>
      </c>
      <c r="C30">
        <v>486</v>
      </c>
      <c r="D30">
        <v>1210</v>
      </c>
      <c r="E30">
        <v>255</v>
      </c>
      <c r="F30">
        <v>1900</v>
      </c>
      <c r="G30">
        <v>437</v>
      </c>
      <c r="H30">
        <v>10626</v>
      </c>
    </row>
    <row r="31" spans="1:8" x14ac:dyDescent="0.2">
      <c r="A31">
        <v>2019</v>
      </c>
      <c r="B31">
        <v>5898</v>
      </c>
      <c r="C31">
        <v>464</v>
      </c>
      <c r="D31">
        <v>1316</v>
      </c>
      <c r="E31">
        <v>262</v>
      </c>
      <c r="F31">
        <v>1900</v>
      </c>
      <c r="G31">
        <v>384</v>
      </c>
      <c r="H31">
        <v>10225</v>
      </c>
    </row>
    <row r="32" spans="1:8" x14ac:dyDescent="0.2">
      <c r="A32">
        <v>2020</v>
      </c>
      <c r="B32">
        <v>5837</v>
      </c>
      <c r="C32">
        <v>383</v>
      </c>
      <c r="D32">
        <v>1248</v>
      </c>
      <c r="E32">
        <v>258</v>
      </c>
      <c r="F32">
        <v>1850</v>
      </c>
      <c r="G32">
        <v>328</v>
      </c>
      <c r="H32">
        <v>9904</v>
      </c>
    </row>
    <row r="33" spans="1:8" x14ac:dyDescent="0.2">
      <c r="A33">
        <v>2021</v>
      </c>
      <c r="B33">
        <v>6268</v>
      </c>
      <c r="C33">
        <v>399</v>
      </c>
      <c r="D33">
        <v>1508</v>
      </c>
      <c r="E33">
        <v>247</v>
      </c>
      <c r="F33">
        <v>1600</v>
      </c>
      <c r="G33">
        <v>344</v>
      </c>
      <c r="H33">
        <v>10366</v>
      </c>
    </row>
    <row r="34" spans="1:8" x14ac:dyDescent="0.2">
      <c r="A34">
        <v>2022</v>
      </c>
      <c r="B34">
        <v>5452</v>
      </c>
      <c r="C34">
        <v>403</v>
      </c>
      <c r="D34">
        <v>1229</v>
      </c>
      <c r="E34">
        <v>232</v>
      </c>
      <c r="F34">
        <v>1600</v>
      </c>
      <c r="G34">
        <v>308</v>
      </c>
      <c r="H34">
        <v>9224</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5"/>
  <sheetViews>
    <sheetView zoomScaleNormal="100" zoomScalePageLayoutView="60" workbookViewId="0"/>
  </sheetViews>
  <sheetFormatPr defaultColWidth="8.375" defaultRowHeight="14.25" x14ac:dyDescent="0.2"/>
  <cols>
    <col min="2" max="2" width="11.375" customWidth="1"/>
    <col min="3" max="3" width="12.25" customWidth="1"/>
    <col min="4" max="4" width="22.25" customWidth="1"/>
    <col min="5" max="5" width="21.625" customWidth="1"/>
    <col min="6" max="6" width="17.875" customWidth="1"/>
    <col min="7" max="7" width="7.75" customWidth="1"/>
    <col min="8" max="8" width="9" customWidth="1"/>
  </cols>
  <sheetData>
    <row r="1" spans="1:8" x14ac:dyDescent="0.2">
      <c r="A1" t="s">
        <v>213</v>
      </c>
    </row>
    <row r="2" spans="1:8" x14ac:dyDescent="0.2">
      <c r="A2" t="s">
        <v>200</v>
      </c>
    </row>
    <row r="3" spans="1:8" x14ac:dyDescent="0.2">
      <c r="A3" t="s">
        <v>155</v>
      </c>
    </row>
    <row r="4" spans="1:8" x14ac:dyDescent="0.2">
      <c r="A4" t="s">
        <v>201</v>
      </c>
    </row>
    <row r="5" spans="1:8" x14ac:dyDescent="0.2">
      <c r="A5" t="s">
        <v>157</v>
      </c>
      <c r="B5" t="s">
        <v>202</v>
      </c>
      <c r="C5" t="s">
        <v>203</v>
      </c>
      <c r="D5" t="s">
        <v>204</v>
      </c>
      <c r="E5" t="s">
        <v>214</v>
      </c>
      <c r="F5" t="s">
        <v>215</v>
      </c>
      <c r="G5" t="s">
        <v>209</v>
      </c>
      <c r="H5" t="s">
        <v>216</v>
      </c>
    </row>
    <row r="6" spans="1:8" x14ac:dyDescent="0.2">
      <c r="A6">
        <v>2013</v>
      </c>
      <c r="B6">
        <v>72</v>
      </c>
      <c r="C6">
        <v>0</v>
      </c>
      <c r="D6">
        <v>0</v>
      </c>
      <c r="E6">
        <v>400</v>
      </c>
      <c r="F6">
        <v>58</v>
      </c>
      <c r="G6">
        <v>530</v>
      </c>
    </row>
    <row r="7" spans="1:8" x14ac:dyDescent="0.2">
      <c r="A7">
        <v>2014</v>
      </c>
      <c r="B7">
        <v>75</v>
      </c>
      <c r="C7">
        <v>0</v>
      </c>
      <c r="D7">
        <v>0</v>
      </c>
      <c r="E7">
        <v>400</v>
      </c>
      <c r="F7">
        <v>60</v>
      </c>
      <c r="G7">
        <v>535</v>
      </c>
    </row>
    <row r="8" spans="1:8" x14ac:dyDescent="0.2">
      <c r="A8">
        <v>2015</v>
      </c>
      <c r="B8">
        <v>74</v>
      </c>
      <c r="C8">
        <v>0</v>
      </c>
      <c r="D8">
        <v>0</v>
      </c>
      <c r="E8">
        <v>400</v>
      </c>
      <c r="F8">
        <v>91</v>
      </c>
      <c r="G8">
        <v>564</v>
      </c>
    </row>
    <row r="9" spans="1:8" x14ac:dyDescent="0.2">
      <c r="A9">
        <v>2016</v>
      </c>
      <c r="B9">
        <v>73</v>
      </c>
      <c r="C9">
        <v>0</v>
      </c>
      <c r="D9">
        <v>0</v>
      </c>
      <c r="E9">
        <v>400</v>
      </c>
      <c r="F9">
        <v>122</v>
      </c>
      <c r="G9">
        <v>595</v>
      </c>
    </row>
    <row r="10" spans="1:8" x14ac:dyDescent="0.2">
      <c r="A10">
        <v>2017</v>
      </c>
      <c r="B10">
        <v>65</v>
      </c>
      <c r="C10">
        <v>0</v>
      </c>
      <c r="D10">
        <v>0</v>
      </c>
      <c r="E10">
        <v>600</v>
      </c>
      <c r="F10">
        <v>71</v>
      </c>
      <c r="G10">
        <v>736</v>
      </c>
      <c r="H10" t="s">
        <v>217</v>
      </c>
    </row>
    <row r="11" spans="1:8" x14ac:dyDescent="0.2">
      <c r="A11">
        <v>2018</v>
      </c>
      <c r="B11">
        <v>66</v>
      </c>
      <c r="C11">
        <v>0</v>
      </c>
      <c r="D11">
        <v>1</v>
      </c>
      <c r="E11">
        <v>700</v>
      </c>
      <c r="F11">
        <v>68</v>
      </c>
      <c r="G11">
        <v>834</v>
      </c>
    </row>
    <row r="12" spans="1:8" x14ac:dyDescent="0.2">
      <c r="A12">
        <v>2019</v>
      </c>
      <c r="B12">
        <v>75</v>
      </c>
      <c r="C12">
        <v>0</v>
      </c>
      <c r="D12">
        <v>0</v>
      </c>
      <c r="E12">
        <v>700</v>
      </c>
      <c r="F12">
        <v>93</v>
      </c>
      <c r="G12">
        <v>868</v>
      </c>
    </row>
    <row r="13" spans="1:8" x14ac:dyDescent="0.2">
      <c r="A13">
        <v>2020</v>
      </c>
      <c r="B13">
        <v>62</v>
      </c>
      <c r="C13">
        <v>0</v>
      </c>
      <c r="D13">
        <v>2</v>
      </c>
      <c r="E13">
        <v>700</v>
      </c>
      <c r="F13">
        <v>66</v>
      </c>
      <c r="G13">
        <v>829</v>
      </c>
    </row>
    <row r="14" spans="1:8" x14ac:dyDescent="0.2">
      <c r="A14">
        <v>2021</v>
      </c>
      <c r="B14">
        <v>60</v>
      </c>
      <c r="C14">
        <v>0</v>
      </c>
      <c r="D14">
        <v>3</v>
      </c>
      <c r="E14">
        <v>700</v>
      </c>
      <c r="F14">
        <v>60</v>
      </c>
      <c r="G14">
        <v>823</v>
      </c>
    </row>
    <row r="15" spans="1:8" x14ac:dyDescent="0.2">
      <c r="A15">
        <v>2022</v>
      </c>
      <c r="B15">
        <v>59</v>
      </c>
      <c r="C15">
        <v>0</v>
      </c>
      <c r="D15">
        <v>5</v>
      </c>
      <c r="E15">
        <v>700</v>
      </c>
      <c r="F15">
        <v>70</v>
      </c>
      <c r="G15">
        <v>834</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4"/>
  <sheetViews>
    <sheetView zoomScaleNormal="100" zoomScalePageLayoutView="60" workbookViewId="0"/>
  </sheetViews>
  <sheetFormatPr defaultColWidth="8.375" defaultRowHeight="14.25" x14ac:dyDescent="0.2"/>
  <cols>
    <col min="2" max="2" width="11.375" customWidth="1"/>
    <col min="3" max="3" width="11.75" customWidth="1"/>
    <col min="4" max="4" width="21.625" customWidth="1"/>
    <col min="5" max="5" width="12.125" customWidth="1"/>
    <col min="6" max="6" width="17.875" customWidth="1"/>
    <col min="7" max="7" width="7.75" customWidth="1"/>
    <col min="8" max="8" width="9" customWidth="1"/>
  </cols>
  <sheetData>
    <row r="1" spans="1:8" x14ac:dyDescent="0.2">
      <c r="A1" t="s">
        <v>218</v>
      </c>
    </row>
    <row r="2" spans="1:8" x14ac:dyDescent="0.2">
      <c r="A2" t="s">
        <v>219</v>
      </c>
    </row>
    <row r="3" spans="1:8" x14ac:dyDescent="0.2">
      <c r="A3" t="s">
        <v>155</v>
      </c>
    </row>
    <row r="4" spans="1:8" x14ac:dyDescent="0.2">
      <c r="A4" t="s">
        <v>201</v>
      </c>
    </row>
    <row r="5" spans="1:8" x14ac:dyDescent="0.2">
      <c r="A5" t="s">
        <v>157</v>
      </c>
      <c r="B5" t="s">
        <v>202</v>
      </c>
      <c r="C5" t="s">
        <v>211</v>
      </c>
      <c r="D5" t="s">
        <v>220</v>
      </c>
      <c r="E5" t="s">
        <v>221</v>
      </c>
      <c r="F5" t="s">
        <v>222</v>
      </c>
      <c r="G5" t="s">
        <v>209</v>
      </c>
      <c r="H5" t="s">
        <v>216</v>
      </c>
    </row>
    <row r="6" spans="1:8" x14ac:dyDescent="0.2">
      <c r="A6">
        <v>1994</v>
      </c>
      <c r="B6">
        <v>350</v>
      </c>
      <c r="C6">
        <v>190</v>
      </c>
      <c r="D6">
        <v>96</v>
      </c>
      <c r="E6">
        <v>150</v>
      </c>
      <c r="F6">
        <v>55</v>
      </c>
      <c r="G6">
        <v>841</v>
      </c>
    </row>
    <row r="7" spans="1:8" x14ac:dyDescent="0.2">
      <c r="A7">
        <v>1995</v>
      </c>
      <c r="B7">
        <v>366</v>
      </c>
      <c r="C7">
        <v>196</v>
      </c>
      <c r="D7">
        <v>113</v>
      </c>
      <c r="E7">
        <v>150</v>
      </c>
      <c r="F7">
        <v>55</v>
      </c>
      <c r="G7">
        <v>880</v>
      </c>
    </row>
    <row r="8" spans="1:8" x14ac:dyDescent="0.2">
      <c r="A8">
        <v>1996</v>
      </c>
      <c r="B8">
        <v>303</v>
      </c>
      <c r="C8">
        <v>202</v>
      </c>
      <c r="D8">
        <v>91</v>
      </c>
      <c r="E8">
        <v>150</v>
      </c>
      <c r="F8">
        <v>55</v>
      </c>
      <c r="G8">
        <v>801</v>
      </c>
    </row>
    <row r="9" spans="1:8" x14ac:dyDescent="0.2">
      <c r="A9">
        <v>1997</v>
      </c>
      <c r="B9">
        <v>296</v>
      </c>
      <c r="C9">
        <v>198</v>
      </c>
      <c r="D9">
        <v>118</v>
      </c>
      <c r="E9">
        <v>150</v>
      </c>
      <c r="F9">
        <v>55</v>
      </c>
      <c r="G9">
        <v>817</v>
      </c>
    </row>
    <row r="10" spans="1:8" x14ac:dyDescent="0.2">
      <c r="A10">
        <v>1998</v>
      </c>
      <c r="B10">
        <v>254</v>
      </c>
      <c r="C10">
        <v>180</v>
      </c>
      <c r="D10">
        <v>77</v>
      </c>
      <c r="E10">
        <v>150</v>
      </c>
      <c r="F10">
        <v>55</v>
      </c>
      <c r="G10">
        <v>716</v>
      </c>
    </row>
    <row r="11" spans="1:8" x14ac:dyDescent="0.2">
      <c r="A11">
        <v>1999</v>
      </c>
      <c r="B11">
        <v>227</v>
      </c>
      <c r="C11">
        <v>191</v>
      </c>
      <c r="D11">
        <v>52</v>
      </c>
      <c r="E11">
        <v>150</v>
      </c>
      <c r="F11">
        <v>55</v>
      </c>
      <c r="G11">
        <v>675</v>
      </c>
    </row>
    <row r="12" spans="1:8" x14ac:dyDescent="0.2">
      <c r="A12">
        <v>2000</v>
      </c>
      <c r="B12">
        <v>199</v>
      </c>
      <c r="C12">
        <v>200</v>
      </c>
      <c r="D12">
        <v>50</v>
      </c>
      <c r="E12">
        <v>150</v>
      </c>
      <c r="F12">
        <v>55</v>
      </c>
      <c r="G12">
        <v>654</v>
      </c>
    </row>
    <row r="13" spans="1:8" x14ac:dyDescent="0.2">
      <c r="A13">
        <v>2001</v>
      </c>
      <c r="B13">
        <v>183</v>
      </c>
      <c r="C13">
        <v>209</v>
      </c>
      <c r="D13">
        <v>35</v>
      </c>
      <c r="E13">
        <v>150</v>
      </c>
      <c r="F13">
        <v>55</v>
      </c>
      <c r="G13">
        <v>632</v>
      </c>
    </row>
    <row r="14" spans="1:8" x14ac:dyDescent="0.2">
      <c r="A14">
        <v>2002</v>
      </c>
      <c r="B14">
        <v>162</v>
      </c>
      <c r="C14">
        <v>210</v>
      </c>
      <c r="D14">
        <v>43</v>
      </c>
      <c r="E14">
        <v>150</v>
      </c>
      <c r="F14">
        <v>55</v>
      </c>
      <c r="G14">
        <v>620</v>
      </c>
    </row>
    <row r="15" spans="1:8" x14ac:dyDescent="0.2">
      <c r="A15">
        <v>2003</v>
      </c>
      <c r="B15">
        <v>138</v>
      </c>
      <c r="C15">
        <v>215</v>
      </c>
      <c r="D15">
        <v>4</v>
      </c>
      <c r="E15">
        <v>150</v>
      </c>
      <c r="F15">
        <v>55</v>
      </c>
      <c r="G15">
        <v>562</v>
      </c>
    </row>
    <row r="16" spans="1:8" x14ac:dyDescent="0.2">
      <c r="A16">
        <v>2004</v>
      </c>
      <c r="B16">
        <v>92</v>
      </c>
      <c r="C16">
        <v>214</v>
      </c>
      <c r="D16">
        <v>2</v>
      </c>
      <c r="E16">
        <v>150</v>
      </c>
      <c r="F16">
        <v>55</v>
      </c>
      <c r="G16">
        <v>513</v>
      </c>
    </row>
    <row r="17" spans="1:8" x14ac:dyDescent="0.2">
      <c r="A17">
        <v>2005</v>
      </c>
      <c r="B17">
        <v>72</v>
      </c>
      <c r="C17">
        <v>214</v>
      </c>
      <c r="D17">
        <v>2</v>
      </c>
      <c r="E17">
        <v>250</v>
      </c>
      <c r="F17">
        <v>55</v>
      </c>
      <c r="G17">
        <v>593</v>
      </c>
    </row>
    <row r="18" spans="1:8" x14ac:dyDescent="0.2">
      <c r="A18">
        <v>2006</v>
      </c>
      <c r="B18">
        <v>64</v>
      </c>
      <c r="C18">
        <v>54</v>
      </c>
      <c r="D18">
        <v>1</v>
      </c>
      <c r="E18">
        <v>250</v>
      </c>
      <c r="F18">
        <v>70</v>
      </c>
      <c r="G18">
        <v>438</v>
      </c>
    </row>
    <row r="19" spans="1:8" x14ac:dyDescent="0.2">
      <c r="A19">
        <v>2007</v>
      </c>
      <c r="B19">
        <v>65</v>
      </c>
      <c r="C19">
        <v>0</v>
      </c>
      <c r="D19">
        <v>5</v>
      </c>
      <c r="E19">
        <v>300</v>
      </c>
      <c r="F19">
        <v>69</v>
      </c>
      <c r="G19">
        <v>439</v>
      </c>
    </row>
    <row r="20" spans="1:8" x14ac:dyDescent="0.2">
      <c r="A20">
        <v>2008</v>
      </c>
      <c r="B20">
        <v>65</v>
      </c>
      <c r="C20">
        <v>0</v>
      </c>
      <c r="D20">
        <v>2</v>
      </c>
      <c r="E20">
        <v>300</v>
      </c>
      <c r="F20">
        <v>63</v>
      </c>
      <c r="G20">
        <v>430</v>
      </c>
    </row>
    <row r="21" spans="1:8" x14ac:dyDescent="0.2">
      <c r="A21">
        <v>2009</v>
      </c>
      <c r="B21">
        <v>75</v>
      </c>
      <c r="C21">
        <v>0</v>
      </c>
      <c r="D21">
        <v>1</v>
      </c>
      <c r="E21">
        <v>400</v>
      </c>
      <c r="F21">
        <v>59</v>
      </c>
      <c r="G21">
        <v>535</v>
      </c>
    </row>
    <row r="22" spans="1:8" x14ac:dyDescent="0.2">
      <c r="A22">
        <v>2010</v>
      </c>
      <c r="B22">
        <v>73</v>
      </c>
      <c r="C22">
        <v>0</v>
      </c>
      <c r="D22">
        <v>1</v>
      </c>
      <c r="E22">
        <v>400</v>
      </c>
      <c r="F22">
        <v>59</v>
      </c>
      <c r="G22">
        <v>534</v>
      </c>
    </row>
    <row r="23" spans="1:8" x14ac:dyDescent="0.2">
      <c r="A23">
        <v>2011</v>
      </c>
      <c r="B23">
        <v>79</v>
      </c>
      <c r="C23">
        <v>0</v>
      </c>
      <c r="D23">
        <v>1</v>
      </c>
      <c r="E23">
        <v>400</v>
      </c>
      <c r="F23">
        <v>59</v>
      </c>
      <c r="G23">
        <v>539</v>
      </c>
    </row>
    <row r="24" spans="1:8" x14ac:dyDescent="0.2">
      <c r="A24">
        <v>2012</v>
      </c>
      <c r="B24">
        <v>74</v>
      </c>
      <c r="C24">
        <v>0</v>
      </c>
      <c r="D24">
        <v>2</v>
      </c>
      <c r="E24">
        <v>400</v>
      </c>
      <c r="F24">
        <v>57</v>
      </c>
      <c r="G24">
        <v>532</v>
      </c>
    </row>
    <row r="25" spans="1:8" x14ac:dyDescent="0.2">
      <c r="A25">
        <v>2013</v>
      </c>
      <c r="B25">
        <v>72</v>
      </c>
      <c r="C25">
        <v>0</v>
      </c>
      <c r="D25">
        <v>0</v>
      </c>
      <c r="E25">
        <v>400</v>
      </c>
      <c r="F25">
        <v>58</v>
      </c>
      <c r="G25">
        <v>530</v>
      </c>
    </row>
    <row r="26" spans="1:8" x14ac:dyDescent="0.2">
      <c r="A26">
        <v>2014</v>
      </c>
      <c r="B26">
        <v>75</v>
      </c>
      <c r="C26">
        <v>0</v>
      </c>
      <c r="D26">
        <v>0</v>
      </c>
      <c r="E26">
        <v>400</v>
      </c>
      <c r="F26">
        <v>60</v>
      </c>
      <c r="G26">
        <v>535</v>
      </c>
    </row>
    <row r="27" spans="1:8" x14ac:dyDescent="0.2">
      <c r="A27">
        <v>2015</v>
      </c>
      <c r="B27">
        <v>74</v>
      </c>
      <c r="C27">
        <v>0</v>
      </c>
      <c r="D27">
        <v>0</v>
      </c>
      <c r="E27">
        <v>400</v>
      </c>
      <c r="F27">
        <v>91</v>
      </c>
      <c r="G27">
        <v>564</v>
      </c>
    </row>
    <row r="28" spans="1:8" x14ac:dyDescent="0.2">
      <c r="A28">
        <v>2016</v>
      </c>
      <c r="B28">
        <v>73</v>
      </c>
      <c r="C28">
        <v>0</v>
      </c>
      <c r="D28">
        <v>0</v>
      </c>
      <c r="E28">
        <v>400</v>
      </c>
      <c r="F28">
        <v>122</v>
      </c>
      <c r="G28">
        <v>595</v>
      </c>
    </row>
    <row r="29" spans="1:8" x14ac:dyDescent="0.2">
      <c r="A29">
        <v>2017</v>
      </c>
      <c r="B29">
        <v>65</v>
      </c>
      <c r="C29">
        <v>0</v>
      </c>
      <c r="D29">
        <v>0</v>
      </c>
      <c r="E29">
        <v>600</v>
      </c>
      <c r="F29">
        <v>71</v>
      </c>
      <c r="G29">
        <v>736</v>
      </c>
      <c r="H29" t="s">
        <v>223</v>
      </c>
    </row>
    <row r="30" spans="1:8" x14ac:dyDescent="0.2">
      <c r="A30">
        <v>2018</v>
      </c>
      <c r="B30">
        <v>66</v>
      </c>
      <c r="C30">
        <v>0</v>
      </c>
      <c r="D30">
        <v>1</v>
      </c>
      <c r="E30">
        <v>700</v>
      </c>
      <c r="F30">
        <v>68</v>
      </c>
      <c r="G30">
        <v>834</v>
      </c>
    </row>
    <row r="31" spans="1:8" x14ac:dyDescent="0.2">
      <c r="A31">
        <v>2019</v>
      </c>
      <c r="B31">
        <v>75</v>
      </c>
      <c r="C31">
        <v>0</v>
      </c>
      <c r="D31">
        <v>0</v>
      </c>
      <c r="E31">
        <v>700</v>
      </c>
      <c r="F31">
        <v>93</v>
      </c>
      <c r="G31">
        <v>868</v>
      </c>
    </row>
    <row r="32" spans="1:8" x14ac:dyDescent="0.2">
      <c r="A32">
        <v>2020</v>
      </c>
      <c r="B32">
        <v>62</v>
      </c>
      <c r="C32">
        <v>0</v>
      </c>
      <c r="D32">
        <v>2</v>
      </c>
      <c r="E32">
        <v>700</v>
      </c>
      <c r="F32">
        <v>66</v>
      </c>
      <c r="G32">
        <v>829</v>
      </c>
    </row>
    <row r="33" spans="1:7" x14ac:dyDescent="0.2">
      <c r="A33">
        <v>2021</v>
      </c>
      <c r="B33">
        <v>60</v>
      </c>
      <c r="C33">
        <v>0</v>
      </c>
      <c r="D33">
        <v>3</v>
      </c>
      <c r="E33">
        <v>700</v>
      </c>
      <c r="F33">
        <v>60</v>
      </c>
      <c r="G33">
        <v>823</v>
      </c>
    </row>
    <row r="34" spans="1:7" x14ac:dyDescent="0.2">
      <c r="A34">
        <v>2022</v>
      </c>
      <c r="B34">
        <v>59</v>
      </c>
      <c r="C34">
        <v>0</v>
      </c>
      <c r="D34">
        <v>5</v>
      </c>
      <c r="E34">
        <v>700</v>
      </c>
      <c r="F34">
        <v>70</v>
      </c>
      <c r="G34">
        <v>834</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5"/>
  <sheetViews>
    <sheetView zoomScaleNormal="100" zoomScalePageLayoutView="60" workbookViewId="0"/>
  </sheetViews>
  <sheetFormatPr defaultColWidth="8.375" defaultRowHeight="14.25" x14ac:dyDescent="0.2"/>
  <cols>
    <col min="2" max="2" width="22.375" customWidth="1"/>
    <col min="3" max="3" width="21.125" customWidth="1"/>
    <col min="4" max="4" width="16.875" customWidth="1"/>
    <col min="5" max="5" width="23.25" customWidth="1"/>
    <col min="6" max="6" width="21.875" customWidth="1"/>
    <col min="7" max="7" width="17.75" customWidth="1"/>
  </cols>
  <sheetData>
    <row r="1" spans="1:7" x14ac:dyDescent="0.2">
      <c r="A1" t="s">
        <v>224</v>
      </c>
    </row>
    <row r="2" spans="1:7" x14ac:dyDescent="0.2">
      <c r="A2" t="s">
        <v>225</v>
      </c>
    </row>
    <row r="3" spans="1:7" x14ac:dyDescent="0.2">
      <c r="A3" t="s">
        <v>155</v>
      </c>
    </row>
    <row r="4" spans="1:7" x14ac:dyDescent="0.2">
      <c r="A4" t="s">
        <v>201</v>
      </c>
    </row>
    <row r="5" spans="1:7" x14ac:dyDescent="0.2">
      <c r="A5" t="s">
        <v>157</v>
      </c>
      <c r="B5" t="s">
        <v>226</v>
      </c>
      <c r="C5" t="s">
        <v>227</v>
      </c>
      <c r="D5" t="s">
        <v>160</v>
      </c>
      <c r="E5" t="s">
        <v>228</v>
      </c>
      <c r="F5" t="s">
        <v>229</v>
      </c>
      <c r="G5" t="s">
        <v>198</v>
      </c>
    </row>
    <row r="6" spans="1:7" x14ac:dyDescent="0.2">
      <c r="A6">
        <v>2013</v>
      </c>
      <c r="B6">
        <v>6418</v>
      </c>
      <c r="C6">
        <v>126</v>
      </c>
      <c r="D6">
        <v>6544</v>
      </c>
      <c r="E6">
        <v>72</v>
      </c>
      <c r="F6">
        <v>13</v>
      </c>
      <c r="G6">
        <v>86</v>
      </c>
    </row>
    <row r="7" spans="1:7" x14ac:dyDescent="0.2">
      <c r="A7">
        <v>2014</v>
      </c>
      <c r="B7">
        <v>6737</v>
      </c>
      <c r="C7">
        <v>159</v>
      </c>
      <c r="D7">
        <v>6895</v>
      </c>
      <c r="E7">
        <v>75</v>
      </c>
      <c r="F7">
        <v>14</v>
      </c>
      <c r="G7">
        <v>89</v>
      </c>
    </row>
    <row r="8" spans="1:7" x14ac:dyDescent="0.2">
      <c r="A8">
        <v>2015</v>
      </c>
      <c r="B8">
        <v>6179</v>
      </c>
      <c r="C8">
        <v>182</v>
      </c>
      <c r="D8">
        <v>6361</v>
      </c>
      <c r="E8">
        <v>74</v>
      </c>
      <c r="F8">
        <v>14</v>
      </c>
      <c r="G8">
        <v>88</v>
      </c>
    </row>
    <row r="9" spans="1:7" x14ac:dyDescent="0.2">
      <c r="A9">
        <v>2016</v>
      </c>
      <c r="B9">
        <v>6522</v>
      </c>
      <c r="C9">
        <v>209</v>
      </c>
      <c r="D9">
        <v>6731</v>
      </c>
      <c r="E9">
        <v>73</v>
      </c>
      <c r="F9">
        <v>17</v>
      </c>
      <c r="G9">
        <v>90</v>
      </c>
    </row>
    <row r="10" spans="1:7" x14ac:dyDescent="0.2">
      <c r="A10">
        <v>2017</v>
      </c>
      <c r="B10">
        <v>6586</v>
      </c>
      <c r="C10">
        <v>267</v>
      </c>
      <c r="D10">
        <v>6853</v>
      </c>
      <c r="E10">
        <v>65</v>
      </c>
      <c r="F10">
        <v>13</v>
      </c>
      <c r="G10">
        <v>78</v>
      </c>
    </row>
    <row r="11" spans="1:7" x14ac:dyDescent="0.2">
      <c r="A11">
        <v>2018</v>
      </c>
      <c r="B11">
        <v>6337</v>
      </c>
      <c r="C11">
        <v>325</v>
      </c>
      <c r="D11">
        <v>6662</v>
      </c>
      <c r="E11">
        <v>66</v>
      </c>
      <c r="F11">
        <v>13</v>
      </c>
      <c r="G11">
        <v>79</v>
      </c>
    </row>
    <row r="12" spans="1:7" x14ac:dyDescent="0.2">
      <c r="A12">
        <v>2019</v>
      </c>
      <c r="B12">
        <v>5898</v>
      </c>
      <c r="C12">
        <v>343</v>
      </c>
      <c r="D12">
        <v>6242</v>
      </c>
      <c r="E12">
        <v>75</v>
      </c>
      <c r="F12">
        <v>13</v>
      </c>
      <c r="G12">
        <v>88</v>
      </c>
    </row>
    <row r="13" spans="1:7" x14ac:dyDescent="0.2">
      <c r="A13">
        <v>2020</v>
      </c>
      <c r="B13">
        <v>5837</v>
      </c>
      <c r="C13">
        <v>263</v>
      </c>
      <c r="D13">
        <v>6100</v>
      </c>
      <c r="E13">
        <v>62</v>
      </c>
      <c r="F13">
        <v>12</v>
      </c>
      <c r="G13">
        <v>73</v>
      </c>
    </row>
    <row r="14" spans="1:7" x14ac:dyDescent="0.2">
      <c r="A14">
        <v>2021</v>
      </c>
      <c r="B14">
        <v>6268</v>
      </c>
      <c r="C14">
        <v>321</v>
      </c>
      <c r="D14">
        <v>6590</v>
      </c>
      <c r="E14">
        <v>60</v>
      </c>
      <c r="F14">
        <v>12</v>
      </c>
      <c r="G14">
        <v>72</v>
      </c>
    </row>
    <row r="15" spans="1:7" x14ac:dyDescent="0.2">
      <c r="A15">
        <v>2022</v>
      </c>
      <c r="B15">
        <v>5452</v>
      </c>
      <c r="C15">
        <v>285</v>
      </c>
      <c r="D15">
        <v>5737</v>
      </c>
      <c r="E15">
        <v>59</v>
      </c>
      <c r="F15">
        <v>12</v>
      </c>
      <c r="G15">
        <v>71</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5"/>
  <sheetViews>
    <sheetView zoomScaleNormal="100" zoomScalePageLayoutView="60" workbookViewId="0"/>
  </sheetViews>
  <sheetFormatPr defaultColWidth="8.375" defaultRowHeight="14.25" x14ac:dyDescent="0.2"/>
  <cols>
    <col min="2" max="2" width="23.625" customWidth="1"/>
    <col min="3" max="3" width="24.25" customWidth="1"/>
    <col min="4" max="4" width="13.375" customWidth="1"/>
    <col min="5" max="5" width="17.875" customWidth="1"/>
    <col min="6" max="6" width="18.375" customWidth="1"/>
    <col min="7" max="7" width="10.5" customWidth="1"/>
  </cols>
  <sheetData>
    <row r="1" spans="1:3" x14ac:dyDescent="0.2">
      <c r="A1" t="s">
        <v>230</v>
      </c>
    </row>
    <row r="2" spans="1:3" x14ac:dyDescent="0.2">
      <c r="A2" t="s">
        <v>225</v>
      </c>
    </row>
    <row r="3" spans="1:3" x14ac:dyDescent="0.2">
      <c r="A3" t="s">
        <v>155</v>
      </c>
    </row>
    <row r="4" spans="1:3" x14ac:dyDescent="0.2">
      <c r="A4" t="s">
        <v>231</v>
      </c>
    </row>
    <row r="5" spans="1:3" x14ac:dyDescent="0.2">
      <c r="A5" t="s">
        <v>157</v>
      </c>
      <c r="B5" t="s">
        <v>232</v>
      </c>
      <c r="C5" t="s">
        <v>233</v>
      </c>
    </row>
    <row r="6" spans="1:3" x14ac:dyDescent="0.2">
      <c r="A6">
        <v>2013</v>
      </c>
      <c r="B6">
        <v>3539</v>
      </c>
      <c r="C6">
        <v>45</v>
      </c>
    </row>
    <row r="7" spans="1:3" x14ac:dyDescent="0.2">
      <c r="A7">
        <v>2014</v>
      </c>
      <c r="B7">
        <v>3719</v>
      </c>
      <c r="C7">
        <v>47</v>
      </c>
    </row>
    <row r="8" spans="1:3" x14ac:dyDescent="0.2">
      <c r="A8">
        <v>2015</v>
      </c>
      <c r="B8">
        <v>3454</v>
      </c>
      <c r="C8">
        <v>45</v>
      </c>
    </row>
    <row r="9" spans="1:3" x14ac:dyDescent="0.2">
      <c r="A9">
        <v>2016</v>
      </c>
      <c r="B9">
        <v>3627</v>
      </c>
      <c r="C9">
        <v>46</v>
      </c>
    </row>
    <row r="10" spans="1:3" x14ac:dyDescent="0.2">
      <c r="A10">
        <v>2017</v>
      </c>
      <c r="B10">
        <v>3727</v>
      </c>
      <c r="C10">
        <v>41</v>
      </c>
    </row>
    <row r="11" spans="1:3" x14ac:dyDescent="0.2">
      <c r="A11">
        <v>2018</v>
      </c>
      <c r="B11">
        <v>3625</v>
      </c>
      <c r="C11">
        <v>41</v>
      </c>
    </row>
    <row r="12" spans="1:3" x14ac:dyDescent="0.2">
      <c r="A12">
        <v>2019</v>
      </c>
      <c r="B12">
        <v>3416</v>
      </c>
      <c r="C12">
        <v>46</v>
      </c>
    </row>
    <row r="13" spans="1:3" x14ac:dyDescent="0.2">
      <c r="A13">
        <v>2020</v>
      </c>
      <c r="B13">
        <v>3311</v>
      </c>
      <c r="C13">
        <v>37</v>
      </c>
    </row>
    <row r="14" spans="1:3" x14ac:dyDescent="0.2">
      <c r="A14">
        <v>2021</v>
      </c>
      <c r="B14">
        <v>3574</v>
      </c>
      <c r="C14">
        <v>37</v>
      </c>
    </row>
    <row r="15" spans="1:3" x14ac:dyDescent="0.2">
      <c r="A15">
        <v>2022</v>
      </c>
      <c r="B15">
        <v>3108</v>
      </c>
      <c r="C15">
        <v>37</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5"/>
  <sheetViews>
    <sheetView zoomScaleNormal="100" zoomScalePageLayoutView="60" workbookViewId="0"/>
  </sheetViews>
  <sheetFormatPr defaultColWidth="8.375" defaultRowHeight="14.25" x14ac:dyDescent="0.2"/>
  <cols>
    <col min="2" max="2" width="5.75" customWidth="1"/>
    <col min="3" max="3" width="8.875" customWidth="1"/>
    <col min="4" max="4" width="10" customWidth="1"/>
    <col min="5" max="6" width="11.25" customWidth="1"/>
    <col min="7" max="7" width="12.375" customWidth="1"/>
    <col min="8" max="8" width="8.125" customWidth="1"/>
    <col min="9" max="9" width="7.75" customWidth="1"/>
  </cols>
  <sheetData>
    <row r="1" spans="1:9" x14ac:dyDescent="0.2">
      <c r="A1" t="s">
        <v>234</v>
      </c>
    </row>
    <row r="2" spans="1:9" x14ac:dyDescent="0.2">
      <c r="A2" t="s">
        <v>225</v>
      </c>
    </row>
    <row r="3" spans="1:9" x14ac:dyDescent="0.2">
      <c r="A3" t="s">
        <v>235</v>
      </c>
    </row>
    <row r="4" spans="1:9" x14ac:dyDescent="0.2">
      <c r="A4" t="s">
        <v>236</v>
      </c>
    </row>
    <row r="5" spans="1:9" x14ac:dyDescent="0.2">
      <c r="A5" t="s">
        <v>157</v>
      </c>
      <c r="B5" t="s">
        <v>237</v>
      </c>
      <c r="C5" t="s">
        <v>238</v>
      </c>
      <c r="D5" t="s">
        <v>239</v>
      </c>
      <c r="E5" t="s">
        <v>240</v>
      </c>
      <c r="F5" t="s">
        <v>241</v>
      </c>
      <c r="G5" t="s">
        <v>242</v>
      </c>
      <c r="H5" t="s">
        <v>243</v>
      </c>
      <c r="I5" t="s">
        <v>209</v>
      </c>
    </row>
    <row r="6" spans="1:9" x14ac:dyDescent="0.2">
      <c r="A6">
        <v>2013</v>
      </c>
      <c r="B6">
        <v>65</v>
      </c>
      <c r="C6">
        <v>43</v>
      </c>
      <c r="D6">
        <v>15</v>
      </c>
      <c r="E6">
        <v>17</v>
      </c>
      <c r="F6">
        <v>13</v>
      </c>
      <c r="G6">
        <v>6</v>
      </c>
      <c r="H6">
        <v>13</v>
      </c>
      <c r="I6">
        <v>172</v>
      </c>
    </row>
    <row r="7" spans="1:9" x14ac:dyDescent="0.2">
      <c r="A7">
        <v>2014</v>
      </c>
      <c r="B7">
        <v>66</v>
      </c>
      <c r="C7">
        <v>39</v>
      </c>
      <c r="D7">
        <v>15</v>
      </c>
      <c r="E7">
        <v>17</v>
      </c>
      <c r="F7">
        <v>13</v>
      </c>
      <c r="G7">
        <v>8</v>
      </c>
      <c r="H7">
        <v>12</v>
      </c>
      <c r="I7">
        <v>170</v>
      </c>
    </row>
    <row r="8" spans="1:9" x14ac:dyDescent="0.2">
      <c r="A8">
        <v>2015</v>
      </c>
      <c r="B8">
        <v>63</v>
      </c>
      <c r="C8">
        <v>41</v>
      </c>
      <c r="D8">
        <v>17</v>
      </c>
      <c r="E8">
        <v>17</v>
      </c>
      <c r="F8">
        <v>12</v>
      </c>
      <c r="G8">
        <v>6</v>
      </c>
      <c r="H8">
        <v>12</v>
      </c>
      <c r="I8">
        <v>168</v>
      </c>
    </row>
    <row r="9" spans="1:9" x14ac:dyDescent="0.2">
      <c r="A9">
        <v>2016</v>
      </c>
      <c r="B9">
        <v>57</v>
      </c>
      <c r="C9">
        <v>40</v>
      </c>
      <c r="D9">
        <v>17</v>
      </c>
      <c r="E9">
        <v>20</v>
      </c>
      <c r="F9">
        <v>6</v>
      </c>
      <c r="G9">
        <v>10</v>
      </c>
      <c r="H9">
        <v>13</v>
      </c>
      <c r="I9">
        <v>163</v>
      </c>
    </row>
    <row r="10" spans="1:9" x14ac:dyDescent="0.2">
      <c r="A10">
        <v>2017</v>
      </c>
      <c r="B10">
        <v>57</v>
      </c>
      <c r="C10">
        <v>40</v>
      </c>
      <c r="D10">
        <v>14</v>
      </c>
      <c r="E10">
        <v>22</v>
      </c>
      <c r="F10">
        <v>5</v>
      </c>
      <c r="G10">
        <v>10</v>
      </c>
      <c r="H10">
        <v>12</v>
      </c>
      <c r="I10">
        <v>160</v>
      </c>
    </row>
    <row r="11" spans="1:9" x14ac:dyDescent="0.2">
      <c r="A11">
        <v>2018</v>
      </c>
      <c r="B11">
        <v>57</v>
      </c>
      <c r="C11">
        <v>34</v>
      </c>
      <c r="D11">
        <v>13</v>
      </c>
      <c r="E11">
        <v>21</v>
      </c>
      <c r="F11">
        <v>8</v>
      </c>
      <c r="G11">
        <v>7</v>
      </c>
      <c r="H11">
        <v>12</v>
      </c>
      <c r="I11">
        <v>152</v>
      </c>
    </row>
    <row r="12" spans="1:9" x14ac:dyDescent="0.2">
      <c r="A12">
        <v>2019</v>
      </c>
      <c r="B12">
        <v>53</v>
      </c>
      <c r="C12">
        <v>34</v>
      </c>
      <c r="D12">
        <v>14</v>
      </c>
      <c r="E12">
        <v>20</v>
      </c>
      <c r="F12">
        <v>8</v>
      </c>
      <c r="G12">
        <v>6</v>
      </c>
      <c r="H12">
        <v>12</v>
      </c>
      <c r="I12">
        <v>147</v>
      </c>
    </row>
    <row r="13" spans="1:9" x14ac:dyDescent="0.2">
      <c r="A13">
        <v>2020</v>
      </c>
      <c r="B13">
        <v>52</v>
      </c>
      <c r="C13">
        <v>31</v>
      </c>
      <c r="D13">
        <v>14</v>
      </c>
      <c r="E13">
        <v>18</v>
      </c>
      <c r="F13">
        <v>10</v>
      </c>
      <c r="G13">
        <v>8</v>
      </c>
      <c r="H13">
        <v>11</v>
      </c>
      <c r="I13">
        <v>144</v>
      </c>
    </row>
    <row r="14" spans="1:9" x14ac:dyDescent="0.2">
      <c r="A14">
        <v>2021</v>
      </c>
      <c r="B14">
        <v>52</v>
      </c>
      <c r="C14">
        <v>28</v>
      </c>
      <c r="D14">
        <v>12</v>
      </c>
      <c r="E14">
        <v>21</v>
      </c>
      <c r="F14">
        <v>9</v>
      </c>
      <c r="G14">
        <v>7</v>
      </c>
      <c r="H14">
        <v>12</v>
      </c>
      <c r="I14">
        <v>141</v>
      </c>
    </row>
    <row r="15" spans="1:9" x14ac:dyDescent="0.2">
      <c r="A15">
        <v>2022</v>
      </c>
      <c r="B15">
        <v>50</v>
      </c>
      <c r="C15">
        <v>30</v>
      </c>
      <c r="D15">
        <v>16</v>
      </c>
      <c r="E15">
        <v>17</v>
      </c>
      <c r="F15">
        <v>11</v>
      </c>
      <c r="G15">
        <v>8</v>
      </c>
      <c r="H15">
        <v>9</v>
      </c>
      <c r="I15">
        <v>141</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5"/>
  <sheetViews>
    <sheetView zoomScaleNormal="100" zoomScalePageLayoutView="60" workbookViewId="0"/>
  </sheetViews>
  <sheetFormatPr defaultColWidth="8.25" defaultRowHeight="14.25" x14ac:dyDescent="0.2"/>
  <cols>
    <col min="1" max="1" width="8.625" customWidth="1"/>
    <col min="2" max="2" width="10.75" customWidth="1"/>
    <col min="3" max="3" width="8.625" customWidth="1"/>
    <col min="4" max="4" width="11.5" customWidth="1"/>
    <col min="5" max="5" width="18.875" customWidth="1"/>
    <col min="6" max="6" width="5.625" customWidth="1"/>
  </cols>
  <sheetData>
    <row r="1" spans="1:6" x14ac:dyDescent="0.2">
      <c r="A1" t="s">
        <v>244</v>
      </c>
    </row>
    <row r="2" spans="1:6" x14ac:dyDescent="0.2">
      <c r="A2" t="s">
        <v>225</v>
      </c>
    </row>
    <row r="3" spans="1:6" x14ac:dyDescent="0.2">
      <c r="A3" t="s">
        <v>235</v>
      </c>
    </row>
    <row r="4" spans="1:6" x14ac:dyDescent="0.2">
      <c r="A4" t="s">
        <v>236</v>
      </c>
    </row>
    <row r="5" spans="1:6" x14ac:dyDescent="0.2">
      <c r="A5" t="s">
        <v>157</v>
      </c>
      <c r="B5" t="s">
        <v>166</v>
      </c>
      <c r="C5" t="s">
        <v>167</v>
      </c>
      <c r="D5" t="s">
        <v>168</v>
      </c>
      <c r="E5" t="s">
        <v>169</v>
      </c>
      <c r="F5" t="s">
        <v>170</v>
      </c>
    </row>
    <row r="6" spans="1:6" x14ac:dyDescent="0.2">
      <c r="A6">
        <v>2013</v>
      </c>
      <c r="B6">
        <v>90</v>
      </c>
      <c r="C6">
        <v>15</v>
      </c>
      <c r="D6">
        <v>58</v>
      </c>
      <c r="E6">
        <v>9</v>
      </c>
      <c r="F6">
        <v>172</v>
      </c>
    </row>
    <row r="7" spans="1:6" x14ac:dyDescent="0.2">
      <c r="A7">
        <v>2014</v>
      </c>
      <c r="B7">
        <v>90</v>
      </c>
      <c r="C7">
        <v>15</v>
      </c>
      <c r="D7">
        <v>56</v>
      </c>
      <c r="E7">
        <v>9</v>
      </c>
      <c r="F7">
        <v>170</v>
      </c>
    </row>
    <row r="8" spans="1:6" x14ac:dyDescent="0.2">
      <c r="A8">
        <v>2015</v>
      </c>
      <c r="B8">
        <v>90</v>
      </c>
      <c r="C8">
        <v>15</v>
      </c>
      <c r="D8">
        <v>54</v>
      </c>
      <c r="E8">
        <v>9</v>
      </c>
      <c r="F8">
        <v>168</v>
      </c>
    </row>
    <row r="9" spans="1:6" x14ac:dyDescent="0.2">
      <c r="A9">
        <v>2016</v>
      </c>
      <c r="B9">
        <v>87</v>
      </c>
      <c r="C9">
        <v>14</v>
      </c>
      <c r="D9">
        <v>53</v>
      </c>
      <c r="E9">
        <v>9</v>
      </c>
      <c r="F9">
        <v>163</v>
      </c>
    </row>
    <row r="10" spans="1:6" x14ac:dyDescent="0.2">
      <c r="A10">
        <v>2017</v>
      </c>
      <c r="B10">
        <v>86</v>
      </c>
      <c r="C10">
        <v>13</v>
      </c>
      <c r="D10">
        <v>52</v>
      </c>
      <c r="E10">
        <v>9</v>
      </c>
      <c r="F10">
        <v>160</v>
      </c>
    </row>
    <row r="11" spans="1:6" x14ac:dyDescent="0.2">
      <c r="A11">
        <v>2018</v>
      </c>
      <c r="B11">
        <v>81</v>
      </c>
      <c r="C11">
        <v>12</v>
      </c>
      <c r="D11">
        <v>50</v>
      </c>
      <c r="E11">
        <v>9</v>
      </c>
      <c r="F11">
        <v>152</v>
      </c>
    </row>
    <row r="12" spans="1:6" x14ac:dyDescent="0.2">
      <c r="A12">
        <v>2019</v>
      </c>
      <c r="B12">
        <v>79</v>
      </c>
      <c r="C12">
        <v>12</v>
      </c>
      <c r="D12">
        <v>47</v>
      </c>
      <c r="E12">
        <v>9</v>
      </c>
      <c r="F12">
        <v>147</v>
      </c>
    </row>
    <row r="13" spans="1:6" x14ac:dyDescent="0.2">
      <c r="A13">
        <v>2020</v>
      </c>
      <c r="B13">
        <v>77</v>
      </c>
      <c r="C13">
        <v>12</v>
      </c>
      <c r="D13">
        <v>46</v>
      </c>
      <c r="E13">
        <v>9</v>
      </c>
      <c r="F13">
        <v>144</v>
      </c>
    </row>
    <row r="14" spans="1:6" x14ac:dyDescent="0.2">
      <c r="A14">
        <v>2021</v>
      </c>
      <c r="B14">
        <v>74</v>
      </c>
      <c r="C14">
        <v>12</v>
      </c>
      <c r="D14">
        <v>46</v>
      </c>
      <c r="E14">
        <v>9</v>
      </c>
      <c r="F14">
        <v>141</v>
      </c>
    </row>
    <row r="15" spans="1:6" x14ac:dyDescent="0.2">
      <c r="A15">
        <v>2022</v>
      </c>
      <c r="B15">
        <v>74</v>
      </c>
      <c r="C15">
        <v>12</v>
      </c>
      <c r="D15">
        <v>46</v>
      </c>
      <c r="E15">
        <v>9</v>
      </c>
      <c r="F15">
        <v>141</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5"/>
  <sheetViews>
    <sheetView zoomScaleNormal="100" zoomScalePageLayoutView="60" workbookViewId="0"/>
  </sheetViews>
  <sheetFormatPr defaultColWidth="8.25" defaultRowHeight="14.25" x14ac:dyDescent="0.2"/>
  <cols>
    <col min="2" max="2" width="17" customWidth="1"/>
    <col min="3" max="3" width="17.625" customWidth="1"/>
    <col min="4" max="4" width="7.375" customWidth="1"/>
    <col min="5" max="5" width="7.75" customWidth="1"/>
  </cols>
  <sheetData>
    <row r="1" spans="1:5" x14ac:dyDescent="0.2">
      <c r="A1" t="s">
        <v>245</v>
      </c>
    </row>
    <row r="2" spans="1:5" x14ac:dyDescent="0.2">
      <c r="A2" t="s">
        <v>225</v>
      </c>
    </row>
    <row r="3" spans="1:5" x14ac:dyDescent="0.2">
      <c r="A3" t="s">
        <v>235</v>
      </c>
    </row>
    <row r="4" spans="1:5" x14ac:dyDescent="0.2">
      <c r="A4" t="s">
        <v>236</v>
      </c>
    </row>
    <row r="5" spans="1:5" x14ac:dyDescent="0.2">
      <c r="A5" t="s">
        <v>157</v>
      </c>
      <c r="B5" t="s">
        <v>246</v>
      </c>
      <c r="C5" t="s">
        <v>247</v>
      </c>
      <c r="D5" t="s">
        <v>248</v>
      </c>
      <c r="E5" t="s">
        <v>209</v>
      </c>
    </row>
    <row r="6" spans="1:5" x14ac:dyDescent="0.2">
      <c r="A6">
        <v>2013</v>
      </c>
      <c r="B6">
        <v>117</v>
      </c>
      <c r="C6">
        <v>11</v>
      </c>
      <c r="D6">
        <v>44</v>
      </c>
      <c r="E6">
        <v>172</v>
      </c>
    </row>
    <row r="7" spans="1:5" x14ac:dyDescent="0.2">
      <c r="A7">
        <v>2014</v>
      </c>
      <c r="B7">
        <v>114</v>
      </c>
      <c r="C7">
        <v>9</v>
      </c>
      <c r="D7">
        <v>47</v>
      </c>
      <c r="E7">
        <v>170</v>
      </c>
    </row>
    <row r="8" spans="1:5" x14ac:dyDescent="0.2">
      <c r="A8">
        <v>2015</v>
      </c>
      <c r="B8">
        <v>111</v>
      </c>
      <c r="C8">
        <v>9</v>
      </c>
      <c r="D8">
        <v>48</v>
      </c>
      <c r="E8">
        <v>168</v>
      </c>
    </row>
    <row r="9" spans="1:5" x14ac:dyDescent="0.2">
      <c r="A9">
        <v>2016</v>
      </c>
      <c r="B9">
        <v>108</v>
      </c>
      <c r="C9">
        <v>9</v>
      </c>
      <c r="D9">
        <v>46</v>
      </c>
      <c r="E9">
        <v>163</v>
      </c>
    </row>
    <row r="10" spans="1:5" x14ac:dyDescent="0.2">
      <c r="A10">
        <v>2017</v>
      </c>
      <c r="B10">
        <v>108</v>
      </c>
      <c r="C10">
        <v>10</v>
      </c>
      <c r="D10">
        <v>42</v>
      </c>
      <c r="E10">
        <v>160</v>
      </c>
    </row>
    <row r="11" spans="1:5" x14ac:dyDescent="0.2">
      <c r="A11">
        <v>2018</v>
      </c>
      <c r="B11">
        <v>101</v>
      </c>
      <c r="C11">
        <v>9</v>
      </c>
      <c r="D11">
        <v>42</v>
      </c>
      <c r="E11">
        <v>152</v>
      </c>
    </row>
    <row r="12" spans="1:5" x14ac:dyDescent="0.2">
      <c r="A12">
        <v>2019</v>
      </c>
      <c r="B12">
        <v>100</v>
      </c>
      <c r="C12">
        <v>8</v>
      </c>
      <c r="D12">
        <v>39</v>
      </c>
      <c r="E12">
        <v>147</v>
      </c>
    </row>
    <row r="13" spans="1:5" x14ac:dyDescent="0.2">
      <c r="A13">
        <v>2020</v>
      </c>
      <c r="B13">
        <v>97</v>
      </c>
      <c r="C13">
        <v>8</v>
      </c>
      <c r="D13">
        <v>39</v>
      </c>
      <c r="E13">
        <v>144</v>
      </c>
    </row>
    <row r="14" spans="1:5" x14ac:dyDescent="0.2">
      <c r="A14">
        <v>2021</v>
      </c>
      <c r="B14">
        <v>96</v>
      </c>
      <c r="C14">
        <v>9</v>
      </c>
      <c r="D14">
        <v>36</v>
      </c>
      <c r="E14">
        <v>141</v>
      </c>
    </row>
    <row r="15" spans="1:5" x14ac:dyDescent="0.2">
      <c r="A15">
        <v>2022</v>
      </c>
      <c r="B15">
        <v>98</v>
      </c>
      <c r="C15">
        <v>9</v>
      </c>
      <c r="D15">
        <v>34</v>
      </c>
      <c r="E15">
        <v>141</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5"/>
  <sheetViews>
    <sheetView zoomScaleNormal="100" zoomScalePageLayoutView="60" workbookViewId="0"/>
  </sheetViews>
  <sheetFormatPr defaultColWidth="8.375" defaultRowHeight="14.25" x14ac:dyDescent="0.2"/>
  <cols>
    <col min="2" max="2" width="5.125" customWidth="1"/>
    <col min="3" max="3" width="7.375" customWidth="1"/>
    <col min="5" max="6" width="9.375" customWidth="1"/>
    <col min="7" max="7" width="10.25" customWidth="1"/>
    <col min="8" max="8" width="10" customWidth="1"/>
    <col min="9" max="9" width="11" customWidth="1"/>
  </cols>
  <sheetData>
    <row r="1" spans="1:9" x14ac:dyDescent="0.2">
      <c r="A1" t="s">
        <v>249</v>
      </c>
    </row>
    <row r="2" spans="1:9" x14ac:dyDescent="0.2">
      <c r="A2" t="s">
        <v>225</v>
      </c>
    </row>
    <row r="3" spans="1:9" x14ac:dyDescent="0.2">
      <c r="A3" t="s">
        <v>235</v>
      </c>
    </row>
    <row r="4" spans="1:9" x14ac:dyDescent="0.2">
      <c r="A4" t="s">
        <v>201</v>
      </c>
    </row>
    <row r="5" spans="1:9" x14ac:dyDescent="0.2">
      <c r="A5" t="s">
        <v>157</v>
      </c>
      <c r="B5" t="s">
        <v>237</v>
      </c>
      <c r="C5" t="s">
        <v>238</v>
      </c>
      <c r="D5" t="s">
        <v>239</v>
      </c>
      <c r="E5" t="s">
        <v>240</v>
      </c>
      <c r="F5" t="s">
        <v>241</v>
      </c>
      <c r="G5" t="s">
        <v>242</v>
      </c>
      <c r="H5" t="s">
        <v>243</v>
      </c>
      <c r="I5" t="s">
        <v>209</v>
      </c>
    </row>
    <row r="6" spans="1:9" x14ac:dyDescent="0.2">
      <c r="A6">
        <v>2013</v>
      </c>
      <c r="B6">
        <v>33</v>
      </c>
      <c r="C6">
        <v>170</v>
      </c>
      <c r="D6">
        <v>197</v>
      </c>
      <c r="E6">
        <v>476</v>
      </c>
      <c r="F6">
        <v>804</v>
      </c>
      <c r="G6">
        <v>777</v>
      </c>
      <c r="H6">
        <v>4085</v>
      </c>
      <c r="I6">
        <v>6544</v>
      </c>
    </row>
    <row r="7" spans="1:9" x14ac:dyDescent="0.2">
      <c r="A7">
        <v>2014</v>
      </c>
      <c r="B7">
        <v>33</v>
      </c>
      <c r="C7">
        <v>143</v>
      </c>
      <c r="D7">
        <v>193</v>
      </c>
      <c r="E7">
        <v>486</v>
      </c>
      <c r="F7">
        <v>833</v>
      </c>
      <c r="G7">
        <v>1090</v>
      </c>
      <c r="H7">
        <v>4117</v>
      </c>
      <c r="I7">
        <v>6895</v>
      </c>
    </row>
    <row r="8" spans="1:9" x14ac:dyDescent="0.2">
      <c r="A8">
        <v>2015</v>
      </c>
      <c r="B8">
        <v>29</v>
      </c>
      <c r="C8">
        <v>153</v>
      </c>
      <c r="D8">
        <v>224</v>
      </c>
      <c r="E8">
        <v>553</v>
      </c>
      <c r="F8">
        <v>795</v>
      </c>
      <c r="G8">
        <v>801</v>
      </c>
      <c r="H8">
        <v>3805</v>
      </c>
      <c r="I8">
        <v>6361</v>
      </c>
    </row>
    <row r="9" spans="1:9" x14ac:dyDescent="0.2">
      <c r="A9">
        <v>2016</v>
      </c>
      <c r="B9">
        <v>26</v>
      </c>
      <c r="C9">
        <v>139</v>
      </c>
      <c r="D9">
        <v>219</v>
      </c>
      <c r="E9">
        <v>588</v>
      </c>
      <c r="F9">
        <v>372</v>
      </c>
      <c r="G9">
        <v>1117</v>
      </c>
      <c r="H9">
        <v>4270</v>
      </c>
      <c r="I9">
        <v>6731</v>
      </c>
    </row>
    <row r="10" spans="1:9" x14ac:dyDescent="0.2">
      <c r="A10">
        <v>2017</v>
      </c>
      <c r="B10">
        <v>26</v>
      </c>
      <c r="C10">
        <v>149</v>
      </c>
      <c r="D10">
        <v>172</v>
      </c>
      <c r="E10">
        <v>692</v>
      </c>
      <c r="F10">
        <v>339</v>
      </c>
      <c r="G10">
        <v>1352</v>
      </c>
      <c r="H10">
        <v>4122</v>
      </c>
      <c r="I10">
        <v>6853</v>
      </c>
    </row>
    <row r="11" spans="1:9" x14ac:dyDescent="0.2">
      <c r="A11">
        <v>2018</v>
      </c>
      <c r="B11">
        <v>30</v>
      </c>
      <c r="C11">
        <v>124</v>
      </c>
      <c r="D11">
        <v>154</v>
      </c>
      <c r="E11">
        <v>626</v>
      </c>
      <c r="F11">
        <v>585</v>
      </c>
      <c r="G11">
        <v>1009</v>
      </c>
      <c r="H11">
        <v>4134</v>
      </c>
      <c r="I11">
        <v>6662</v>
      </c>
    </row>
    <row r="12" spans="1:9" x14ac:dyDescent="0.2">
      <c r="A12">
        <v>2019</v>
      </c>
      <c r="B12">
        <v>27</v>
      </c>
      <c r="C12">
        <v>124</v>
      </c>
      <c r="D12">
        <v>189</v>
      </c>
      <c r="E12">
        <v>639</v>
      </c>
      <c r="F12">
        <v>550</v>
      </c>
      <c r="G12">
        <v>831</v>
      </c>
      <c r="H12">
        <v>3881</v>
      </c>
      <c r="I12">
        <v>6242</v>
      </c>
    </row>
    <row r="13" spans="1:9" x14ac:dyDescent="0.2">
      <c r="A13">
        <v>2020</v>
      </c>
      <c r="B13">
        <v>29</v>
      </c>
      <c r="C13">
        <v>109</v>
      </c>
      <c r="D13">
        <v>172</v>
      </c>
      <c r="E13">
        <v>504</v>
      </c>
      <c r="F13">
        <v>598</v>
      </c>
      <c r="G13">
        <v>1146</v>
      </c>
      <c r="H13">
        <v>3541</v>
      </c>
      <c r="I13">
        <v>6100</v>
      </c>
    </row>
    <row r="14" spans="1:9" x14ac:dyDescent="0.2">
      <c r="A14">
        <v>2021</v>
      </c>
      <c r="B14">
        <v>29</v>
      </c>
      <c r="C14">
        <v>105</v>
      </c>
      <c r="D14">
        <v>144</v>
      </c>
      <c r="E14">
        <v>605</v>
      </c>
      <c r="F14">
        <v>576</v>
      </c>
      <c r="G14">
        <v>931</v>
      </c>
      <c r="H14">
        <v>4200</v>
      </c>
      <c r="I14">
        <v>6590</v>
      </c>
    </row>
    <row r="15" spans="1:9" x14ac:dyDescent="0.2">
      <c r="A15">
        <v>2022</v>
      </c>
      <c r="B15">
        <v>29</v>
      </c>
      <c r="C15">
        <v>115</v>
      </c>
      <c r="D15">
        <v>208</v>
      </c>
      <c r="E15">
        <v>520</v>
      </c>
      <c r="F15">
        <v>633</v>
      </c>
      <c r="G15">
        <v>1204</v>
      </c>
      <c r="H15">
        <v>3028</v>
      </c>
      <c r="I15">
        <v>5737</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5"/>
  <sheetViews>
    <sheetView zoomScaleNormal="100" zoomScalePageLayoutView="60" workbookViewId="0"/>
  </sheetViews>
  <sheetFormatPr defaultColWidth="8.25" defaultRowHeight="14.25" x14ac:dyDescent="0.2"/>
  <cols>
    <col min="1" max="1" width="8.625" customWidth="1"/>
    <col min="2" max="2" width="10.75" customWidth="1"/>
    <col min="3" max="3" width="8.625" customWidth="1"/>
    <col min="4" max="4" width="11.5" customWidth="1"/>
    <col min="5" max="5" width="18.875" customWidth="1"/>
    <col min="6" max="6" width="7.75" customWidth="1"/>
  </cols>
  <sheetData>
    <row r="1" spans="1:6" x14ac:dyDescent="0.2">
      <c r="A1" t="s">
        <v>250</v>
      </c>
    </row>
    <row r="2" spans="1:6" x14ac:dyDescent="0.2">
      <c r="A2" t="s">
        <v>225</v>
      </c>
    </row>
    <row r="3" spans="1:6" x14ac:dyDescent="0.2">
      <c r="A3" t="s">
        <v>235</v>
      </c>
    </row>
    <row r="4" spans="1:6" x14ac:dyDescent="0.2">
      <c r="A4" t="s">
        <v>201</v>
      </c>
    </row>
    <row r="5" spans="1:6" x14ac:dyDescent="0.2">
      <c r="A5" t="s">
        <v>157</v>
      </c>
      <c r="B5" t="s">
        <v>166</v>
      </c>
      <c r="C5" t="s">
        <v>167</v>
      </c>
      <c r="D5" t="s">
        <v>168</v>
      </c>
      <c r="E5" t="s">
        <v>169</v>
      </c>
      <c r="F5" t="s">
        <v>170</v>
      </c>
    </row>
    <row r="6" spans="1:6" x14ac:dyDescent="0.2">
      <c r="A6">
        <v>2013</v>
      </c>
      <c r="B6">
        <v>1876</v>
      </c>
      <c r="C6">
        <v>720</v>
      </c>
      <c r="D6">
        <v>3416</v>
      </c>
      <c r="E6">
        <v>532</v>
      </c>
      <c r="F6">
        <v>6544</v>
      </c>
    </row>
    <row r="7" spans="1:6" x14ac:dyDescent="0.2">
      <c r="A7">
        <v>2014</v>
      </c>
      <c r="B7">
        <v>1979</v>
      </c>
      <c r="C7">
        <v>729</v>
      </c>
      <c r="D7">
        <v>3657</v>
      </c>
      <c r="E7">
        <v>530</v>
      </c>
      <c r="F7">
        <v>6895</v>
      </c>
    </row>
    <row r="8" spans="1:6" x14ac:dyDescent="0.2">
      <c r="A8">
        <v>2015</v>
      </c>
      <c r="B8">
        <v>1914</v>
      </c>
      <c r="C8">
        <v>673</v>
      </c>
      <c r="D8">
        <v>3243</v>
      </c>
      <c r="E8">
        <v>531</v>
      </c>
      <c r="F8">
        <v>6361</v>
      </c>
    </row>
    <row r="9" spans="1:6" x14ac:dyDescent="0.2">
      <c r="A9">
        <v>2016</v>
      </c>
      <c r="B9">
        <v>1981</v>
      </c>
      <c r="C9">
        <v>756</v>
      </c>
      <c r="D9">
        <v>3437</v>
      </c>
      <c r="E9">
        <v>558</v>
      </c>
      <c r="F9">
        <v>6731</v>
      </c>
    </row>
    <row r="10" spans="1:6" x14ac:dyDescent="0.2">
      <c r="A10">
        <v>2017</v>
      </c>
      <c r="B10">
        <v>2086</v>
      </c>
      <c r="C10">
        <v>709</v>
      </c>
      <c r="D10">
        <v>3475</v>
      </c>
      <c r="E10">
        <v>583</v>
      </c>
      <c r="F10">
        <v>6853</v>
      </c>
    </row>
    <row r="11" spans="1:6" x14ac:dyDescent="0.2">
      <c r="A11">
        <v>2018</v>
      </c>
      <c r="B11">
        <v>2026</v>
      </c>
      <c r="C11">
        <v>666</v>
      </c>
      <c r="D11">
        <v>3329</v>
      </c>
      <c r="E11">
        <v>640</v>
      </c>
      <c r="F11">
        <v>6662</v>
      </c>
    </row>
    <row r="12" spans="1:6" x14ac:dyDescent="0.2">
      <c r="A12">
        <v>2019</v>
      </c>
      <c r="B12">
        <v>1990</v>
      </c>
      <c r="C12">
        <v>580</v>
      </c>
      <c r="D12">
        <v>2994</v>
      </c>
      <c r="E12">
        <v>678</v>
      </c>
      <c r="F12">
        <v>6242</v>
      </c>
    </row>
    <row r="13" spans="1:6" x14ac:dyDescent="0.2">
      <c r="A13">
        <v>2020</v>
      </c>
      <c r="B13">
        <v>1820</v>
      </c>
      <c r="C13">
        <v>585</v>
      </c>
      <c r="D13">
        <v>3064</v>
      </c>
      <c r="E13">
        <v>631</v>
      </c>
      <c r="F13">
        <v>6100</v>
      </c>
    </row>
    <row r="14" spans="1:6" x14ac:dyDescent="0.2">
      <c r="A14">
        <v>2021</v>
      </c>
      <c r="B14">
        <v>1925</v>
      </c>
      <c r="C14">
        <v>627</v>
      </c>
      <c r="D14">
        <v>3374</v>
      </c>
      <c r="E14">
        <v>664</v>
      </c>
      <c r="F14">
        <v>6590</v>
      </c>
    </row>
    <row r="15" spans="1:6" x14ac:dyDescent="0.2">
      <c r="A15">
        <v>2022</v>
      </c>
      <c r="B15">
        <v>1763</v>
      </c>
      <c r="C15">
        <v>498</v>
      </c>
      <c r="D15">
        <v>2868</v>
      </c>
      <c r="E15">
        <v>608</v>
      </c>
      <c r="F15">
        <v>5737</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5"/>
  <sheetViews>
    <sheetView zoomScaleNormal="100" zoomScalePageLayoutView="60" workbookViewId="0"/>
  </sheetViews>
  <sheetFormatPr defaultColWidth="8.25" defaultRowHeight="14.25" x14ac:dyDescent="0.2"/>
  <cols>
    <col min="2" max="2" width="5.75" customWidth="1"/>
    <col min="3" max="3" width="8.875" customWidth="1"/>
    <col min="4" max="4" width="10" customWidth="1"/>
    <col min="5" max="6" width="11.25" customWidth="1"/>
    <col min="7" max="7" width="12.375" customWidth="1"/>
    <col min="8" max="8" width="8.125" customWidth="1"/>
    <col min="9" max="9" width="7.75" customWidth="1"/>
  </cols>
  <sheetData>
    <row r="1" spans="1:9" x14ac:dyDescent="0.2">
      <c r="A1" t="s">
        <v>251</v>
      </c>
    </row>
    <row r="2" spans="1:9" x14ac:dyDescent="0.2">
      <c r="A2" t="s">
        <v>225</v>
      </c>
    </row>
    <row r="3" spans="1:9" x14ac:dyDescent="0.2">
      <c r="A3" t="s">
        <v>235</v>
      </c>
    </row>
    <row r="4" spans="1:9" x14ac:dyDescent="0.2">
      <c r="A4" t="s">
        <v>231</v>
      </c>
    </row>
    <row r="5" spans="1:9" x14ac:dyDescent="0.2">
      <c r="A5" t="s">
        <v>157</v>
      </c>
      <c r="B5" t="s">
        <v>237</v>
      </c>
      <c r="C5" t="s">
        <v>238</v>
      </c>
      <c r="D5" t="s">
        <v>239</v>
      </c>
      <c r="E5" t="s">
        <v>240</v>
      </c>
      <c r="F5" t="s">
        <v>241</v>
      </c>
      <c r="G5" t="s">
        <v>242</v>
      </c>
      <c r="H5" t="s">
        <v>243</v>
      </c>
      <c r="I5" t="s">
        <v>209</v>
      </c>
    </row>
    <row r="6" spans="1:9" x14ac:dyDescent="0.2">
      <c r="A6">
        <v>2013</v>
      </c>
      <c r="B6">
        <v>19</v>
      </c>
      <c r="C6">
        <v>98</v>
      </c>
      <c r="D6">
        <v>102</v>
      </c>
      <c r="E6">
        <v>287</v>
      </c>
      <c r="F6">
        <v>429</v>
      </c>
      <c r="G6">
        <v>404</v>
      </c>
      <c r="H6">
        <v>2200</v>
      </c>
      <c r="I6">
        <v>3539</v>
      </c>
    </row>
    <row r="7" spans="1:9" x14ac:dyDescent="0.2">
      <c r="A7">
        <v>2014</v>
      </c>
      <c r="B7">
        <v>19</v>
      </c>
      <c r="C7">
        <v>83</v>
      </c>
      <c r="D7">
        <v>100</v>
      </c>
      <c r="E7">
        <v>282</v>
      </c>
      <c r="F7">
        <v>448</v>
      </c>
      <c r="G7">
        <v>563</v>
      </c>
      <c r="H7">
        <v>2224</v>
      </c>
      <c r="I7">
        <v>3719</v>
      </c>
    </row>
    <row r="8" spans="1:9" x14ac:dyDescent="0.2">
      <c r="A8">
        <v>2015</v>
      </c>
      <c r="B8">
        <v>17</v>
      </c>
      <c r="C8">
        <v>88</v>
      </c>
      <c r="D8">
        <v>120</v>
      </c>
      <c r="E8">
        <v>296</v>
      </c>
      <c r="F8">
        <v>466</v>
      </c>
      <c r="G8">
        <v>422</v>
      </c>
      <c r="H8">
        <v>2045</v>
      </c>
      <c r="I8">
        <v>3454</v>
      </c>
    </row>
    <row r="9" spans="1:9" x14ac:dyDescent="0.2">
      <c r="A9">
        <v>2016</v>
      </c>
      <c r="B9">
        <v>16</v>
      </c>
      <c r="C9">
        <v>80</v>
      </c>
      <c r="D9">
        <v>115</v>
      </c>
      <c r="E9">
        <v>338</v>
      </c>
      <c r="F9">
        <v>186</v>
      </c>
      <c r="G9">
        <v>597</v>
      </c>
      <c r="H9">
        <v>2296</v>
      </c>
      <c r="I9">
        <v>3627</v>
      </c>
    </row>
    <row r="10" spans="1:9" x14ac:dyDescent="0.2">
      <c r="A10">
        <v>2017</v>
      </c>
      <c r="B10">
        <v>16</v>
      </c>
      <c r="C10">
        <v>86</v>
      </c>
      <c r="D10">
        <v>86</v>
      </c>
      <c r="E10">
        <v>384</v>
      </c>
      <c r="F10">
        <v>178</v>
      </c>
      <c r="G10">
        <v>647</v>
      </c>
      <c r="H10">
        <v>2328</v>
      </c>
      <c r="I10">
        <v>3727</v>
      </c>
    </row>
    <row r="11" spans="1:9" x14ac:dyDescent="0.2">
      <c r="A11">
        <v>2018</v>
      </c>
      <c r="B11">
        <v>18</v>
      </c>
      <c r="C11">
        <v>71</v>
      </c>
      <c r="D11">
        <v>74</v>
      </c>
      <c r="E11">
        <v>355</v>
      </c>
      <c r="F11">
        <v>311</v>
      </c>
      <c r="G11">
        <v>468</v>
      </c>
      <c r="H11">
        <v>2327</v>
      </c>
      <c r="I11">
        <v>3625</v>
      </c>
    </row>
    <row r="12" spans="1:9" x14ac:dyDescent="0.2">
      <c r="A12">
        <v>2019</v>
      </c>
      <c r="B12">
        <v>17</v>
      </c>
      <c r="C12">
        <v>71</v>
      </c>
      <c r="D12">
        <v>89</v>
      </c>
      <c r="E12">
        <v>349</v>
      </c>
      <c r="F12">
        <v>306</v>
      </c>
      <c r="G12">
        <v>382</v>
      </c>
      <c r="H12">
        <v>2203</v>
      </c>
      <c r="I12">
        <v>3416</v>
      </c>
    </row>
    <row r="13" spans="1:9" x14ac:dyDescent="0.2">
      <c r="A13">
        <v>2020</v>
      </c>
      <c r="B13">
        <v>17</v>
      </c>
      <c r="C13">
        <v>66</v>
      </c>
      <c r="D13">
        <v>81</v>
      </c>
      <c r="E13">
        <v>277</v>
      </c>
      <c r="F13">
        <v>321</v>
      </c>
      <c r="G13">
        <v>551</v>
      </c>
      <c r="H13">
        <v>1997</v>
      </c>
      <c r="I13">
        <v>3311</v>
      </c>
    </row>
    <row r="14" spans="1:9" x14ac:dyDescent="0.2">
      <c r="A14">
        <v>2021</v>
      </c>
      <c r="B14">
        <v>17</v>
      </c>
      <c r="C14">
        <v>58</v>
      </c>
      <c r="D14">
        <v>66</v>
      </c>
      <c r="E14">
        <v>332</v>
      </c>
      <c r="F14">
        <v>308</v>
      </c>
      <c r="G14">
        <v>483</v>
      </c>
      <c r="H14">
        <v>2309</v>
      </c>
      <c r="I14">
        <v>3574</v>
      </c>
    </row>
    <row r="15" spans="1:9" x14ac:dyDescent="0.2">
      <c r="A15">
        <v>2022</v>
      </c>
      <c r="B15">
        <v>17</v>
      </c>
      <c r="C15">
        <v>63</v>
      </c>
      <c r="D15">
        <v>97</v>
      </c>
      <c r="E15">
        <v>271</v>
      </c>
      <c r="F15">
        <v>344</v>
      </c>
      <c r="G15">
        <v>619</v>
      </c>
      <c r="H15">
        <v>1698</v>
      </c>
      <c r="I15">
        <v>3108</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15"/>
  <sheetViews>
    <sheetView zoomScaleNormal="100" zoomScalePageLayoutView="60" workbookViewId="0"/>
  </sheetViews>
  <sheetFormatPr defaultColWidth="8.375" defaultRowHeight="14.25" x14ac:dyDescent="0.2"/>
  <cols>
    <col min="2" max="2" width="10.75" customWidth="1"/>
    <col min="3" max="3" width="8.625" customWidth="1"/>
    <col min="4" max="4" width="11.5" customWidth="1"/>
    <col min="5" max="5" width="18.875" customWidth="1"/>
    <col min="6" max="6" width="8.625" customWidth="1"/>
  </cols>
  <sheetData>
    <row r="1" spans="1:6" x14ac:dyDescent="0.2">
      <c r="A1" t="s">
        <v>252</v>
      </c>
    </row>
    <row r="2" spans="1:6" x14ac:dyDescent="0.2">
      <c r="A2" t="s">
        <v>225</v>
      </c>
    </row>
    <row r="3" spans="1:6" x14ac:dyDescent="0.2">
      <c r="A3" t="s">
        <v>235</v>
      </c>
    </row>
    <row r="4" spans="1:6" x14ac:dyDescent="0.2">
      <c r="A4" t="s">
        <v>231</v>
      </c>
    </row>
    <row r="5" spans="1:6" x14ac:dyDescent="0.2">
      <c r="A5" t="s">
        <v>157</v>
      </c>
      <c r="B5" t="s">
        <v>166</v>
      </c>
      <c r="C5" t="s">
        <v>167</v>
      </c>
      <c r="D5" t="s">
        <v>168</v>
      </c>
      <c r="E5" t="s">
        <v>169</v>
      </c>
      <c r="F5" t="s">
        <v>170</v>
      </c>
    </row>
    <row r="6" spans="1:6" x14ac:dyDescent="0.2">
      <c r="A6">
        <v>2013</v>
      </c>
      <c r="B6">
        <v>1024</v>
      </c>
      <c r="C6">
        <v>357</v>
      </c>
      <c r="D6">
        <v>1869</v>
      </c>
      <c r="E6">
        <v>289</v>
      </c>
      <c r="F6">
        <v>3539</v>
      </c>
    </row>
    <row r="7" spans="1:6" x14ac:dyDescent="0.2">
      <c r="A7">
        <v>2014</v>
      </c>
      <c r="B7">
        <v>1090</v>
      </c>
      <c r="C7">
        <v>362</v>
      </c>
      <c r="D7">
        <v>1981</v>
      </c>
      <c r="E7">
        <v>286</v>
      </c>
      <c r="F7">
        <v>3719</v>
      </c>
    </row>
    <row r="8" spans="1:6" x14ac:dyDescent="0.2">
      <c r="A8">
        <v>2015</v>
      </c>
      <c r="B8">
        <v>1055</v>
      </c>
      <c r="C8">
        <v>332</v>
      </c>
      <c r="D8">
        <v>1783</v>
      </c>
      <c r="E8">
        <v>284</v>
      </c>
      <c r="F8">
        <v>3454</v>
      </c>
    </row>
    <row r="9" spans="1:6" x14ac:dyDescent="0.2">
      <c r="A9">
        <v>2016</v>
      </c>
      <c r="B9">
        <v>1091</v>
      </c>
      <c r="C9">
        <v>374</v>
      </c>
      <c r="D9">
        <v>1867</v>
      </c>
      <c r="E9">
        <v>294</v>
      </c>
      <c r="F9">
        <v>3627</v>
      </c>
    </row>
    <row r="10" spans="1:6" x14ac:dyDescent="0.2">
      <c r="A10">
        <v>2017</v>
      </c>
      <c r="B10">
        <v>1157</v>
      </c>
      <c r="C10">
        <v>327</v>
      </c>
      <c r="D10">
        <v>1917</v>
      </c>
      <c r="E10">
        <v>326</v>
      </c>
      <c r="F10">
        <v>3727</v>
      </c>
    </row>
    <row r="11" spans="1:6" x14ac:dyDescent="0.2">
      <c r="A11">
        <v>2018</v>
      </c>
      <c r="B11">
        <v>1120</v>
      </c>
      <c r="C11">
        <v>316</v>
      </c>
      <c r="D11">
        <v>1837</v>
      </c>
      <c r="E11">
        <v>351</v>
      </c>
      <c r="F11">
        <v>3625</v>
      </c>
    </row>
    <row r="12" spans="1:6" x14ac:dyDescent="0.2">
      <c r="A12">
        <v>2019</v>
      </c>
      <c r="B12">
        <v>1107</v>
      </c>
      <c r="C12">
        <v>275</v>
      </c>
      <c r="D12">
        <v>1684</v>
      </c>
      <c r="E12">
        <v>351</v>
      </c>
      <c r="F12">
        <v>3416</v>
      </c>
    </row>
    <row r="13" spans="1:6" x14ac:dyDescent="0.2">
      <c r="A13">
        <v>2020</v>
      </c>
      <c r="B13">
        <v>1007</v>
      </c>
      <c r="C13">
        <v>271</v>
      </c>
      <c r="D13">
        <v>1683</v>
      </c>
      <c r="E13">
        <v>349</v>
      </c>
      <c r="F13">
        <v>3311</v>
      </c>
    </row>
    <row r="14" spans="1:6" x14ac:dyDescent="0.2">
      <c r="A14">
        <v>2021</v>
      </c>
      <c r="B14">
        <v>1050</v>
      </c>
      <c r="C14">
        <v>293</v>
      </c>
      <c r="D14">
        <v>1859</v>
      </c>
      <c r="E14">
        <v>371</v>
      </c>
      <c r="F14">
        <v>3574</v>
      </c>
    </row>
    <row r="15" spans="1:6" x14ac:dyDescent="0.2">
      <c r="A15">
        <v>2022</v>
      </c>
      <c r="B15">
        <v>945</v>
      </c>
      <c r="C15">
        <v>245</v>
      </c>
      <c r="D15">
        <v>1570</v>
      </c>
      <c r="E15">
        <v>349</v>
      </c>
      <c r="F15">
        <v>3108</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9"/>
  <sheetViews>
    <sheetView zoomScaleNormal="100" zoomScalePageLayoutView="60" workbookViewId="0"/>
  </sheetViews>
  <sheetFormatPr defaultColWidth="8.25" defaultRowHeight="14.25" x14ac:dyDescent="0.2"/>
  <cols>
    <col min="1" max="1" width="38.125" customWidth="1"/>
    <col min="2" max="2" width="10.75" customWidth="1"/>
    <col min="3" max="3" width="9.375" customWidth="1"/>
    <col min="4" max="4" width="12.125" customWidth="1"/>
    <col min="5" max="5" width="18.875" customWidth="1"/>
    <col min="6" max="6" width="7.75" customWidth="1"/>
  </cols>
  <sheetData>
    <row r="1" spans="1:6" x14ac:dyDescent="0.2">
      <c r="A1" t="s">
        <v>253</v>
      </c>
    </row>
    <row r="2" spans="1:6" x14ac:dyDescent="0.2">
      <c r="A2" t="s">
        <v>254</v>
      </c>
    </row>
    <row r="3" spans="1:6" x14ac:dyDescent="0.2">
      <c r="A3" t="s">
        <v>235</v>
      </c>
    </row>
    <row r="4" spans="1:6" x14ac:dyDescent="0.2">
      <c r="A4" t="s">
        <v>255</v>
      </c>
    </row>
    <row r="5" spans="1:6" x14ac:dyDescent="0.2">
      <c r="A5" t="s">
        <v>256</v>
      </c>
      <c r="B5" t="s">
        <v>166</v>
      </c>
      <c r="C5" t="s">
        <v>257</v>
      </c>
      <c r="D5" t="s">
        <v>258</v>
      </c>
      <c r="E5" t="s">
        <v>169</v>
      </c>
      <c r="F5" t="s">
        <v>170</v>
      </c>
    </row>
    <row r="6" spans="1:6" x14ac:dyDescent="0.2">
      <c r="A6" t="s">
        <v>259</v>
      </c>
      <c r="B6">
        <v>10</v>
      </c>
      <c r="C6">
        <v>2</v>
      </c>
      <c r="D6">
        <v>14</v>
      </c>
      <c r="E6">
        <v>2</v>
      </c>
      <c r="F6">
        <v>28</v>
      </c>
    </row>
    <row r="7" spans="1:6" x14ac:dyDescent="0.2">
      <c r="A7" t="s">
        <v>260</v>
      </c>
      <c r="B7">
        <v>1418</v>
      </c>
      <c r="C7">
        <v>344</v>
      </c>
      <c r="D7">
        <v>2545</v>
      </c>
      <c r="E7">
        <v>558</v>
      </c>
      <c r="F7">
        <v>4865</v>
      </c>
    </row>
    <row r="8" spans="1:6" ht="18" x14ac:dyDescent="0.2">
      <c r="A8" t="s">
        <v>261</v>
      </c>
      <c r="B8">
        <v>772</v>
      </c>
      <c r="C8">
        <v>166</v>
      </c>
      <c r="D8">
        <v>1402</v>
      </c>
      <c r="E8">
        <v>322</v>
      </c>
      <c r="F8">
        <v>2661</v>
      </c>
    </row>
    <row r="9" spans="1:6" x14ac:dyDescent="0.2">
      <c r="A9" t="s">
        <v>262</v>
      </c>
      <c r="B9">
        <v>653</v>
      </c>
      <c r="C9">
        <v>201</v>
      </c>
      <c r="D9">
        <v>1362</v>
      </c>
      <c r="E9">
        <v>319</v>
      </c>
      <c r="F9">
        <v>2535</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12"/>
  <sheetViews>
    <sheetView zoomScaleNormal="100" zoomScalePageLayoutView="60" workbookViewId="0"/>
  </sheetViews>
  <sheetFormatPr defaultColWidth="8.25" defaultRowHeight="14.25" x14ac:dyDescent="0.2"/>
  <cols>
    <col min="1" max="1" width="28.5" customWidth="1"/>
    <col min="2" max="2" width="10.75" customWidth="1"/>
    <col min="3" max="3" width="9.375" customWidth="1"/>
    <col min="4" max="4" width="12.125" customWidth="1"/>
    <col min="5" max="5" width="18.875" customWidth="1"/>
    <col min="6" max="6" width="7.75" customWidth="1"/>
  </cols>
  <sheetData>
    <row r="1" spans="1:6" x14ac:dyDescent="0.2">
      <c r="A1" t="s">
        <v>263</v>
      </c>
    </row>
    <row r="2" spans="1:6" x14ac:dyDescent="0.2">
      <c r="A2" t="s">
        <v>225</v>
      </c>
    </row>
    <row r="3" spans="1:6" x14ac:dyDescent="0.2">
      <c r="A3" t="s">
        <v>235</v>
      </c>
    </row>
    <row r="4" spans="1:6" x14ac:dyDescent="0.2">
      <c r="A4" t="s">
        <v>201</v>
      </c>
    </row>
    <row r="5" spans="1:6" x14ac:dyDescent="0.2">
      <c r="A5" t="s">
        <v>264</v>
      </c>
      <c r="B5" t="s">
        <v>166</v>
      </c>
      <c r="C5" t="s">
        <v>257</v>
      </c>
      <c r="D5" t="s">
        <v>258</v>
      </c>
      <c r="E5" t="s">
        <v>169</v>
      </c>
      <c r="F5" t="s">
        <v>170</v>
      </c>
    </row>
    <row r="6" spans="1:6" x14ac:dyDescent="0.2">
      <c r="A6" t="s">
        <v>166</v>
      </c>
      <c r="B6">
        <v>895</v>
      </c>
      <c r="C6">
        <v>29</v>
      </c>
      <c r="D6">
        <v>62</v>
      </c>
      <c r="E6">
        <v>0</v>
      </c>
      <c r="F6">
        <v>1132</v>
      </c>
    </row>
    <row r="7" spans="1:6" x14ac:dyDescent="0.2">
      <c r="A7" t="s">
        <v>257</v>
      </c>
      <c r="B7">
        <v>297</v>
      </c>
      <c r="C7">
        <v>272</v>
      </c>
      <c r="D7">
        <v>0</v>
      </c>
      <c r="E7">
        <v>0</v>
      </c>
      <c r="F7">
        <v>570</v>
      </c>
    </row>
    <row r="8" spans="1:6" x14ac:dyDescent="0.2">
      <c r="A8" t="s">
        <v>258</v>
      </c>
      <c r="B8">
        <v>226</v>
      </c>
      <c r="C8">
        <v>42</v>
      </c>
      <c r="D8">
        <v>2483</v>
      </c>
      <c r="E8">
        <v>0</v>
      </c>
      <c r="F8">
        <v>2839</v>
      </c>
    </row>
    <row r="9" spans="1:6" x14ac:dyDescent="0.2">
      <c r="A9" t="s">
        <v>169</v>
      </c>
      <c r="B9">
        <v>0</v>
      </c>
      <c r="C9">
        <v>0</v>
      </c>
      <c r="D9">
        <v>0</v>
      </c>
      <c r="E9">
        <v>273</v>
      </c>
      <c r="F9">
        <v>273</v>
      </c>
    </row>
    <row r="10" spans="1:6" x14ac:dyDescent="0.2">
      <c r="A10" t="s">
        <v>265</v>
      </c>
      <c r="B10">
        <v>1418</v>
      </c>
      <c r="C10">
        <v>344</v>
      </c>
      <c r="D10">
        <v>2545</v>
      </c>
      <c r="E10">
        <v>273</v>
      </c>
      <c r="F10">
        <v>4814</v>
      </c>
    </row>
    <row r="11" spans="1:6" x14ac:dyDescent="0.2">
      <c r="A11" t="s">
        <v>266</v>
      </c>
      <c r="B11">
        <v>0</v>
      </c>
      <c r="C11">
        <v>0</v>
      </c>
      <c r="D11">
        <v>0</v>
      </c>
      <c r="E11">
        <v>285</v>
      </c>
      <c r="F11">
        <v>285</v>
      </c>
    </row>
    <row r="12" spans="1:6" ht="16.5" customHeight="1" x14ac:dyDescent="0.2">
      <c r="A12" t="s">
        <v>267</v>
      </c>
      <c r="B12">
        <v>1418</v>
      </c>
      <c r="C12">
        <v>344</v>
      </c>
      <c r="D12">
        <v>2545</v>
      </c>
      <c r="E12">
        <v>558</v>
      </c>
      <c r="F12">
        <v>4865</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10"/>
  <sheetViews>
    <sheetView zoomScaleNormal="100" zoomScalePageLayoutView="60" workbookViewId="0"/>
  </sheetViews>
  <sheetFormatPr defaultColWidth="8.25" defaultRowHeight="14.25" x14ac:dyDescent="0.2"/>
  <cols>
    <col min="2" max="2" width="10.75" customWidth="1"/>
    <col min="3" max="3" width="9.375" customWidth="1"/>
    <col min="4" max="4" width="12.125" customWidth="1"/>
    <col min="5" max="5" width="18.875" customWidth="1"/>
    <col min="6" max="6" width="18.375" customWidth="1"/>
    <col min="7" max="7" width="7.75" customWidth="1"/>
  </cols>
  <sheetData>
    <row r="1" spans="1:7" x14ac:dyDescent="0.2">
      <c r="A1" t="s">
        <v>268</v>
      </c>
    </row>
    <row r="2" spans="1:7" x14ac:dyDescent="0.2">
      <c r="A2" t="s">
        <v>254</v>
      </c>
    </row>
    <row r="3" spans="1:7" x14ac:dyDescent="0.2">
      <c r="A3" t="s">
        <v>235</v>
      </c>
    </row>
    <row r="4" spans="1:7" x14ac:dyDescent="0.2">
      <c r="A4" t="s">
        <v>269</v>
      </c>
    </row>
    <row r="5" spans="1:7" x14ac:dyDescent="0.2">
      <c r="A5" t="s">
        <v>157</v>
      </c>
      <c r="B5" t="s">
        <v>166</v>
      </c>
      <c r="C5" t="s">
        <v>257</v>
      </c>
      <c r="D5" t="s">
        <v>258</v>
      </c>
      <c r="E5" t="s">
        <v>169</v>
      </c>
      <c r="F5" t="s">
        <v>266</v>
      </c>
      <c r="G5" t="s">
        <v>209</v>
      </c>
    </row>
    <row r="6" spans="1:7" x14ac:dyDescent="0.2">
      <c r="A6">
        <v>2018</v>
      </c>
      <c r="B6">
        <v>20</v>
      </c>
      <c r="C6">
        <v>13</v>
      </c>
      <c r="D6">
        <v>57</v>
      </c>
      <c r="E6">
        <v>5</v>
      </c>
      <c r="F6">
        <v>6</v>
      </c>
      <c r="G6">
        <v>100</v>
      </c>
    </row>
    <row r="7" spans="1:7" x14ac:dyDescent="0.2">
      <c r="A7">
        <v>2019</v>
      </c>
      <c r="B7">
        <v>21</v>
      </c>
      <c r="C7">
        <v>13</v>
      </c>
      <c r="D7">
        <v>54</v>
      </c>
      <c r="E7">
        <v>6</v>
      </c>
      <c r="F7">
        <v>7</v>
      </c>
      <c r="G7">
        <v>100</v>
      </c>
    </row>
    <row r="8" spans="1:7" x14ac:dyDescent="0.2">
      <c r="A8">
        <v>2020</v>
      </c>
      <c r="B8">
        <v>21</v>
      </c>
      <c r="C8">
        <v>11</v>
      </c>
      <c r="D8">
        <v>57</v>
      </c>
      <c r="E8">
        <v>6</v>
      </c>
      <c r="F8">
        <v>5</v>
      </c>
      <c r="G8">
        <v>100</v>
      </c>
    </row>
    <row r="9" spans="1:7" x14ac:dyDescent="0.2">
      <c r="A9">
        <v>2021</v>
      </c>
      <c r="B9">
        <v>18</v>
      </c>
      <c r="C9">
        <v>13</v>
      </c>
      <c r="D9">
        <v>59</v>
      </c>
      <c r="E9">
        <v>5</v>
      </c>
      <c r="F9">
        <v>6</v>
      </c>
      <c r="G9">
        <v>100</v>
      </c>
    </row>
    <row r="10" spans="1:7" x14ac:dyDescent="0.2">
      <c r="A10">
        <v>2022</v>
      </c>
      <c r="B10">
        <v>20</v>
      </c>
      <c r="C10">
        <v>12</v>
      </c>
      <c r="D10">
        <v>57</v>
      </c>
      <c r="E10">
        <v>6</v>
      </c>
      <c r="F10">
        <v>6</v>
      </c>
      <c r="G10">
        <v>100</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0"/>
  <sheetViews>
    <sheetView zoomScaleNormal="100" zoomScalePageLayoutView="60" workbookViewId="0"/>
  </sheetViews>
  <sheetFormatPr defaultColWidth="8.25" defaultRowHeight="14.25" x14ac:dyDescent="0.2"/>
  <cols>
    <col min="1" max="1" width="18.375" customWidth="1"/>
    <col min="2" max="2" width="10.75" customWidth="1"/>
    <col min="3" max="3" width="9.375" customWidth="1"/>
    <col min="4" max="4" width="12.125" customWidth="1"/>
    <col min="5" max="5" width="18.875" customWidth="1"/>
    <col min="6" max="6" width="5.625" customWidth="1"/>
  </cols>
  <sheetData>
    <row r="1" spans="1:6" x14ac:dyDescent="0.2">
      <c r="A1" t="s">
        <v>270</v>
      </c>
    </row>
    <row r="2" spans="1:6" x14ac:dyDescent="0.2">
      <c r="A2" t="s">
        <v>225</v>
      </c>
    </row>
    <row r="3" spans="1:6" x14ac:dyDescent="0.2">
      <c r="A3" t="s">
        <v>235</v>
      </c>
    </row>
    <row r="4" spans="1:6" x14ac:dyDescent="0.2">
      <c r="A4" t="s">
        <v>271</v>
      </c>
    </row>
    <row r="5" spans="1:6" x14ac:dyDescent="0.2">
      <c r="A5" t="s">
        <v>272</v>
      </c>
      <c r="B5" t="s">
        <v>166</v>
      </c>
      <c r="C5" t="s">
        <v>257</v>
      </c>
      <c r="D5" t="s">
        <v>258</v>
      </c>
      <c r="E5" t="s">
        <v>169</v>
      </c>
      <c r="F5" t="s">
        <v>170</v>
      </c>
    </row>
    <row r="6" spans="1:6" x14ac:dyDescent="0.2">
      <c r="A6" t="s">
        <v>273</v>
      </c>
      <c r="B6">
        <v>11</v>
      </c>
      <c r="C6">
        <v>7</v>
      </c>
      <c r="D6">
        <v>34</v>
      </c>
      <c r="E6">
        <v>27</v>
      </c>
      <c r="F6">
        <v>25</v>
      </c>
    </row>
    <row r="7" spans="1:6" x14ac:dyDescent="0.2">
      <c r="A7" t="s">
        <v>205</v>
      </c>
      <c r="B7">
        <v>61</v>
      </c>
      <c r="C7">
        <v>27</v>
      </c>
      <c r="D7">
        <v>32</v>
      </c>
      <c r="E7">
        <v>36</v>
      </c>
      <c r="F7">
        <v>41</v>
      </c>
    </row>
    <row r="8" spans="1:6" x14ac:dyDescent="0.2">
      <c r="A8" t="s">
        <v>274</v>
      </c>
      <c r="B8">
        <v>23</v>
      </c>
      <c r="C8">
        <v>47</v>
      </c>
      <c r="D8">
        <v>26</v>
      </c>
      <c r="E8">
        <v>30</v>
      </c>
      <c r="F8">
        <v>27</v>
      </c>
    </row>
    <row r="9" spans="1:6" x14ac:dyDescent="0.2">
      <c r="A9" t="s">
        <v>275</v>
      </c>
      <c r="B9">
        <v>5</v>
      </c>
      <c r="C9">
        <v>18</v>
      </c>
      <c r="D9">
        <v>8</v>
      </c>
      <c r="E9">
        <v>7</v>
      </c>
      <c r="F9">
        <v>7</v>
      </c>
    </row>
    <row r="10" spans="1:6" x14ac:dyDescent="0.2">
      <c r="A10" t="s">
        <v>209</v>
      </c>
      <c r="B10">
        <v>100</v>
      </c>
      <c r="C10">
        <v>100</v>
      </c>
      <c r="D10">
        <v>100</v>
      </c>
      <c r="E10">
        <v>100</v>
      </c>
      <c r="F10">
        <v>100</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10"/>
  <sheetViews>
    <sheetView zoomScaleNormal="100" zoomScalePageLayoutView="60" workbookViewId="0"/>
  </sheetViews>
  <sheetFormatPr defaultColWidth="8.375" defaultRowHeight="14.25" x14ac:dyDescent="0.2"/>
  <cols>
    <col min="2" max="2" width="15.625" customWidth="1"/>
    <col min="3" max="3" width="10.5" customWidth="1"/>
    <col min="4" max="4" width="21.375" customWidth="1"/>
    <col min="6" max="6" width="7.75" customWidth="1"/>
  </cols>
  <sheetData>
    <row r="1" spans="1:6" x14ac:dyDescent="0.2">
      <c r="A1" t="s">
        <v>276</v>
      </c>
    </row>
    <row r="2" spans="1:6" x14ac:dyDescent="0.2">
      <c r="A2" t="s">
        <v>254</v>
      </c>
    </row>
    <row r="3" spans="1:6" x14ac:dyDescent="0.2">
      <c r="A3" t="s">
        <v>235</v>
      </c>
    </row>
    <row r="4" spans="1:6" x14ac:dyDescent="0.2">
      <c r="A4" t="s">
        <v>277</v>
      </c>
    </row>
    <row r="5" spans="1:6" x14ac:dyDescent="0.2">
      <c r="A5" t="s">
        <v>157</v>
      </c>
      <c r="B5" t="s">
        <v>273</v>
      </c>
      <c r="C5" t="s">
        <v>205</v>
      </c>
      <c r="D5" t="s">
        <v>278</v>
      </c>
      <c r="E5" t="s">
        <v>275</v>
      </c>
      <c r="F5" t="s">
        <v>209</v>
      </c>
    </row>
    <row r="6" spans="1:6" x14ac:dyDescent="0.2">
      <c r="A6">
        <v>2018</v>
      </c>
      <c r="B6">
        <v>33</v>
      </c>
      <c r="C6">
        <v>36</v>
      </c>
      <c r="D6">
        <v>24</v>
      </c>
      <c r="E6">
        <v>7</v>
      </c>
      <c r="F6">
        <v>100</v>
      </c>
    </row>
    <row r="7" spans="1:6" x14ac:dyDescent="0.2">
      <c r="A7">
        <v>2019</v>
      </c>
      <c r="B7">
        <v>30</v>
      </c>
      <c r="C7">
        <v>37</v>
      </c>
      <c r="D7">
        <v>26</v>
      </c>
      <c r="E7">
        <v>7</v>
      </c>
      <c r="F7">
        <v>100</v>
      </c>
    </row>
    <row r="8" spans="1:6" x14ac:dyDescent="0.2">
      <c r="A8">
        <v>2020</v>
      </c>
      <c r="B8">
        <v>27</v>
      </c>
      <c r="C8">
        <v>43</v>
      </c>
      <c r="D8">
        <v>24</v>
      </c>
      <c r="E8">
        <v>6</v>
      </c>
      <c r="F8">
        <v>100</v>
      </c>
    </row>
    <row r="9" spans="1:6" x14ac:dyDescent="0.2">
      <c r="A9">
        <v>2021</v>
      </c>
      <c r="B9">
        <v>27</v>
      </c>
      <c r="C9">
        <v>39</v>
      </c>
      <c r="D9">
        <v>25</v>
      </c>
      <c r="E9">
        <v>9</v>
      </c>
      <c r="F9">
        <v>100</v>
      </c>
    </row>
    <row r="10" spans="1:6" x14ac:dyDescent="0.2">
      <c r="A10">
        <v>2022</v>
      </c>
      <c r="B10">
        <v>25</v>
      </c>
      <c r="C10">
        <v>41</v>
      </c>
      <c r="D10">
        <v>27</v>
      </c>
      <c r="E10">
        <v>7</v>
      </c>
      <c r="F10">
        <v>100</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21"/>
  <sheetViews>
    <sheetView zoomScaleNormal="100" zoomScalePageLayoutView="60" workbookViewId="0"/>
  </sheetViews>
  <sheetFormatPr defaultColWidth="8.25" defaultRowHeight="14.25" x14ac:dyDescent="0.2"/>
  <cols>
    <col min="1" max="1" width="38.625" customWidth="1"/>
    <col min="2" max="2" width="10.75" customWidth="1"/>
    <col min="3" max="3" width="9.375" customWidth="1"/>
    <col min="4" max="4" width="12.125" customWidth="1"/>
    <col min="5" max="5" width="18.875" customWidth="1"/>
    <col min="6" max="6" width="5.625" customWidth="1"/>
  </cols>
  <sheetData>
    <row r="1" spans="1:6" x14ac:dyDescent="0.2">
      <c r="A1" t="s">
        <v>279</v>
      </c>
    </row>
    <row r="2" spans="1:6" x14ac:dyDescent="0.2">
      <c r="A2" t="s">
        <v>254</v>
      </c>
    </row>
    <row r="3" spans="1:6" x14ac:dyDescent="0.2">
      <c r="A3" t="s">
        <v>235</v>
      </c>
    </row>
    <row r="4" spans="1:6" x14ac:dyDescent="0.2">
      <c r="A4" t="s">
        <v>280</v>
      </c>
    </row>
    <row r="5" spans="1:6" x14ac:dyDescent="0.2">
      <c r="A5" t="s">
        <v>281</v>
      </c>
      <c r="B5" t="s">
        <v>166</v>
      </c>
      <c r="C5" t="s">
        <v>257</v>
      </c>
      <c r="D5" t="s">
        <v>258</v>
      </c>
      <c r="E5" t="s">
        <v>169</v>
      </c>
      <c r="F5" t="s">
        <v>170</v>
      </c>
    </row>
    <row r="6" spans="1:6" x14ac:dyDescent="0.2">
      <c r="A6" t="s">
        <v>282</v>
      </c>
      <c r="B6">
        <v>49</v>
      </c>
      <c r="C6">
        <v>87</v>
      </c>
      <c r="D6">
        <v>58</v>
      </c>
      <c r="E6">
        <v>0</v>
      </c>
      <c r="F6">
        <v>50</v>
      </c>
    </row>
    <row r="7" spans="1:6" x14ac:dyDescent="0.2">
      <c r="A7" t="s">
        <v>283</v>
      </c>
      <c r="B7">
        <v>36</v>
      </c>
      <c r="C7">
        <v>62</v>
      </c>
      <c r="D7">
        <v>41</v>
      </c>
      <c r="E7">
        <v>0</v>
      </c>
      <c r="F7">
        <v>36</v>
      </c>
    </row>
    <row r="8" spans="1:6" x14ac:dyDescent="0.2">
      <c r="A8" t="s">
        <v>284</v>
      </c>
      <c r="B8">
        <v>0</v>
      </c>
      <c r="C8">
        <v>0</v>
      </c>
      <c r="D8">
        <v>0</v>
      </c>
      <c r="E8">
        <v>0</v>
      </c>
      <c r="F8">
        <v>0</v>
      </c>
    </row>
    <row r="9" spans="1:6" x14ac:dyDescent="0.2">
      <c r="A9" t="s">
        <v>285</v>
      </c>
      <c r="B9">
        <v>14</v>
      </c>
      <c r="C9">
        <v>25</v>
      </c>
      <c r="D9">
        <v>17</v>
      </c>
      <c r="E9">
        <v>0</v>
      </c>
      <c r="F9">
        <v>14</v>
      </c>
    </row>
    <row r="10" spans="1:6" x14ac:dyDescent="0.2">
      <c r="A10" t="s">
        <v>286</v>
      </c>
      <c r="B10">
        <v>10</v>
      </c>
      <c r="C10">
        <v>3</v>
      </c>
      <c r="D10">
        <v>17</v>
      </c>
      <c r="E10">
        <v>51</v>
      </c>
      <c r="F10">
        <v>19</v>
      </c>
    </row>
    <row r="11" spans="1:6" x14ac:dyDescent="0.2">
      <c r="A11" t="s">
        <v>283</v>
      </c>
      <c r="B11">
        <v>10</v>
      </c>
      <c r="C11">
        <v>3</v>
      </c>
      <c r="D11">
        <v>13</v>
      </c>
      <c r="E11">
        <v>32</v>
      </c>
      <c r="F11">
        <v>14</v>
      </c>
    </row>
    <row r="12" spans="1:6" x14ac:dyDescent="0.2">
      <c r="A12" t="s">
        <v>284</v>
      </c>
      <c r="B12">
        <v>0</v>
      </c>
      <c r="C12">
        <v>0</v>
      </c>
      <c r="D12">
        <v>0</v>
      </c>
      <c r="E12">
        <v>0</v>
      </c>
      <c r="F12">
        <v>0</v>
      </c>
    </row>
    <row r="13" spans="1:6" x14ac:dyDescent="0.2">
      <c r="A13" t="s">
        <v>285</v>
      </c>
      <c r="B13">
        <v>0</v>
      </c>
      <c r="C13">
        <v>0</v>
      </c>
      <c r="D13">
        <v>4</v>
      </c>
      <c r="E13">
        <v>18</v>
      </c>
      <c r="F13">
        <v>4</v>
      </c>
    </row>
    <row r="14" spans="1:6" x14ac:dyDescent="0.2">
      <c r="A14" t="s">
        <v>287</v>
      </c>
      <c r="B14">
        <v>39</v>
      </c>
      <c r="C14">
        <v>7</v>
      </c>
      <c r="D14">
        <v>15</v>
      </c>
      <c r="E14">
        <v>16</v>
      </c>
      <c r="F14">
        <v>21</v>
      </c>
    </row>
    <row r="15" spans="1:6" x14ac:dyDescent="0.2">
      <c r="A15" t="s">
        <v>283</v>
      </c>
      <c r="B15">
        <v>21</v>
      </c>
      <c r="C15">
        <v>0</v>
      </c>
      <c r="D15">
        <v>3</v>
      </c>
      <c r="E15">
        <v>2</v>
      </c>
      <c r="F15">
        <v>7</v>
      </c>
    </row>
    <row r="16" spans="1:6" x14ac:dyDescent="0.2">
      <c r="A16" t="s">
        <v>284</v>
      </c>
      <c r="B16">
        <v>9</v>
      </c>
      <c r="C16">
        <v>7</v>
      </c>
      <c r="D16">
        <v>8</v>
      </c>
      <c r="E16">
        <v>9</v>
      </c>
      <c r="F16">
        <v>8</v>
      </c>
    </row>
    <row r="17" spans="1:6" x14ac:dyDescent="0.2">
      <c r="A17" t="s">
        <v>285</v>
      </c>
      <c r="B17">
        <v>9</v>
      </c>
      <c r="C17">
        <v>0</v>
      </c>
      <c r="D17">
        <v>4</v>
      </c>
      <c r="E17">
        <v>5</v>
      </c>
      <c r="F17">
        <v>5</v>
      </c>
    </row>
    <row r="18" spans="1:6" x14ac:dyDescent="0.2">
      <c r="A18" t="s">
        <v>288</v>
      </c>
      <c r="B18">
        <v>2</v>
      </c>
      <c r="C18">
        <v>2</v>
      </c>
      <c r="D18">
        <v>10</v>
      </c>
      <c r="E18">
        <v>33</v>
      </c>
      <c r="F18">
        <v>10</v>
      </c>
    </row>
    <row r="19" spans="1:6" x14ac:dyDescent="0.2">
      <c r="A19" t="s">
        <v>283</v>
      </c>
      <c r="B19">
        <v>1</v>
      </c>
      <c r="C19">
        <v>2</v>
      </c>
      <c r="D19">
        <v>7</v>
      </c>
      <c r="E19">
        <v>29</v>
      </c>
      <c r="F19">
        <v>8</v>
      </c>
    </row>
    <row r="20" spans="1:6" x14ac:dyDescent="0.2">
      <c r="A20" t="s">
        <v>284</v>
      </c>
      <c r="B20">
        <v>0</v>
      </c>
      <c r="C20">
        <v>0</v>
      </c>
      <c r="D20">
        <v>1</v>
      </c>
      <c r="E20">
        <v>4</v>
      </c>
      <c r="F20">
        <v>1</v>
      </c>
    </row>
    <row r="21" spans="1:6" x14ac:dyDescent="0.2">
      <c r="A21" t="s">
        <v>285</v>
      </c>
      <c r="B21">
        <v>0</v>
      </c>
      <c r="C21">
        <v>0</v>
      </c>
      <c r="D21">
        <v>1</v>
      </c>
      <c r="E21">
        <v>0</v>
      </c>
      <c r="F21">
        <v>1</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10"/>
  <sheetViews>
    <sheetView zoomScaleNormal="100" zoomScalePageLayoutView="60" workbookViewId="0"/>
  </sheetViews>
  <sheetFormatPr defaultColWidth="8.25" defaultRowHeight="14.25" x14ac:dyDescent="0.2"/>
  <cols>
    <col min="2" max="2" width="26.625" customWidth="1"/>
    <col min="3" max="3" width="29.75" customWidth="1"/>
    <col min="4" max="4" width="14.25" customWidth="1"/>
    <col min="5" max="5" width="17.875" customWidth="1"/>
    <col min="6" max="6" width="17.125" customWidth="1"/>
  </cols>
  <sheetData>
    <row r="1" spans="1:6" x14ac:dyDescent="0.2">
      <c r="A1" t="s">
        <v>289</v>
      </c>
    </row>
    <row r="2" spans="1:6" x14ac:dyDescent="0.2">
      <c r="A2" t="s">
        <v>254</v>
      </c>
    </row>
    <row r="3" spans="1:6" x14ac:dyDescent="0.2">
      <c r="A3" t="s">
        <v>235</v>
      </c>
    </row>
    <row r="4" spans="1:6" x14ac:dyDescent="0.2">
      <c r="A4" t="s">
        <v>280</v>
      </c>
    </row>
    <row r="5" spans="1:6" ht="29.45" customHeight="1" x14ac:dyDescent="0.2">
      <c r="A5" t="s">
        <v>157</v>
      </c>
      <c r="B5" t="s">
        <v>282</v>
      </c>
      <c r="C5" t="s">
        <v>290</v>
      </c>
      <c r="D5" t="s">
        <v>291</v>
      </c>
      <c r="E5" t="s">
        <v>288</v>
      </c>
      <c r="F5" t="s">
        <v>292</v>
      </c>
    </row>
    <row r="6" spans="1:6" x14ac:dyDescent="0.2">
      <c r="A6">
        <v>2018</v>
      </c>
      <c r="B6">
        <v>46</v>
      </c>
      <c r="C6">
        <v>24</v>
      </c>
      <c r="D6">
        <v>25</v>
      </c>
      <c r="E6">
        <v>5</v>
      </c>
      <c r="F6">
        <v>100</v>
      </c>
    </row>
    <row r="7" spans="1:6" x14ac:dyDescent="0.2">
      <c r="A7">
        <v>2019</v>
      </c>
      <c r="B7">
        <v>53</v>
      </c>
      <c r="C7">
        <v>20</v>
      </c>
      <c r="D7">
        <v>19</v>
      </c>
      <c r="E7">
        <v>8</v>
      </c>
      <c r="F7">
        <v>100</v>
      </c>
    </row>
    <row r="8" spans="1:6" x14ac:dyDescent="0.2">
      <c r="A8">
        <v>2020</v>
      </c>
      <c r="B8">
        <v>54</v>
      </c>
      <c r="C8">
        <v>20</v>
      </c>
      <c r="D8">
        <v>19</v>
      </c>
      <c r="E8">
        <v>7</v>
      </c>
      <c r="F8">
        <v>100</v>
      </c>
    </row>
    <row r="9" spans="1:6" x14ac:dyDescent="0.2">
      <c r="A9">
        <v>2021</v>
      </c>
      <c r="B9">
        <v>55</v>
      </c>
      <c r="C9">
        <v>18</v>
      </c>
      <c r="D9">
        <v>21</v>
      </c>
      <c r="E9">
        <v>6</v>
      </c>
      <c r="F9">
        <v>100</v>
      </c>
    </row>
    <row r="10" spans="1:6" x14ac:dyDescent="0.2">
      <c r="A10">
        <v>2022</v>
      </c>
      <c r="B10">
        <v>50</v>
      </c>
      <c r="C10">
        <v>19</v>
      </c>
      <c r="D10">
        <v>21</v>
      </c>
      <c r="E10">
        <v>10</v>
      </c>
      <c r="F10">
        <v>100</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12"/>
  <sheetViews>
    <sheetView zoomScaleNormal="100" zoomScalePageLayoutView="60" workbookViewId="0"/>
  </sheetViews>
  <sheetFormatPr defaultColWidth="8.25" defaultRowHeight="14.25" x14ac:dyDescent="0.2"/>
  <cols>
    <col min="1" max="1" width="32.375" customWidth="1"/>
    <col min="2" max="2" width="10.75" customWidth="1"/>
    <col min="3" max="3" width="9.375" customWidth="1"/>
    <col min="4" max="4" width="12.125" customWidth="1"/>
    <col min="5" max="5" width="18.875" customWidth="1"/>
    <col min="6" max="6" width="7.75" customWidth="1"/>
  </cols>
  <sheetData>
    <row r="1" spans="1:6" x14ac:dyDescent="0.2">
      <c r="A1" t="s">
        <v>293</v>
      </c>
    </row>
    <row r="2" spans="1:6" x14ac:dyDescent="0.2">
      <c r="A2" t="s">
        <v>254</v>
      </c>
    </row>
    <row r="3" spans="1:6" x14ac:dyDescent="0.2">
      <c r="A3" t="s">
        <v>235</v>
      </c>
    </row>
    <row r="4" spans="1:6" x14ac:dyDescent="0.2">
      <c r="A4" t="s">
        <v>294</v>
      </c>
    </row>
    <row r="5" spans="1:6" x14ac:dyDescent="0.2">
      <c r="A5" t="s">
        <v>295</v>
      </c>
      <c r="B5" t="s">
        <v>166</v>
      </c>
      <c r="C5" t="s">
        <v>257</v>
      </c>
      <c r="D5" t="s">
        <v>258</v>
      </c>
      <c r="E5" t="s">
        <v>169</v>
      </c>
      <c r="F5" t="s">
        <v>170</v>
      </c>
    </row>
    <row r="6" spans="1:6" x14ac:dyDescent="0.2">
      <c r="A6" t="s">
        <v>296</v>
      </c>
      <c r="B6">
        <v>1042</v>
      </c>
      <c r="C6">
        <v>147</v>
      </c>
      <c r="D6">
        <v>1354</v>
      </c>
      <c r="E6">
        <v>285</v>
      </c>
      <c r="F6">
        <v>2827</v>
      </c>
    </row>
    <row r="7" spans="1:6" x14ac:dyDescent="0.2">
      <c r="A7" t="s">
        <v>297</v>
      </c>
      <c r="B7">
        <v>815</v>
      </c>
      <c r="C7">
        <v>133</v>
      </c>
      <c r="D7">
        <v>1174</v>
      </c>
      <c r="E7">
        <v>205</v>
      </c>
      <c r="F7">
        <v>2326</v>
      </c>
    </row>
    <row r="8" spans="1:6" x14ac:dyDescent="0.2">
      <c r="A8" t="s">
        <v>298</v>
      </c>
      <c r="B8">
        <v>162</v>
      </c>
      <c r="C8">
        <v>14</v>
      </c>
      <c r="D8">
        <v>162</v>
      </c>
      <c r="E8">
        <v>78</v>
      </c>
      <c r="F8">
        <v>415</v>
      </c>
    </row>
    <row r="9" spans="1:6" x14ac:dyDescent="0.2">
      <c r="A9" t="s">
        <v>299</v>
      </c>
      <c r="B9">
        <v>65</v>
      </c>
      <c r="C9">
        <v>0</v>
      </c>
      <c r="D9">
        <v>19</v>
      </c>
      <c r="E9">
        <v>2</v>
      </c>
      <c r="F9">
        <v>86</v>
      </c>
    </row>
    <row r="10" spans="1:6" x14ac:dyDescent="0.2">
      <c r="A10" t="s">
        <v>300</v>
      </c>
      <c r="B10">
        <v>8</v>
      </c>
      <c r="C10">
        <v>0</v>
      </c>
      <c r="D10">
        <v>7</v>
      </c>
      <c r="E10">
        <v>0</v>
      </c>
      <c r="F10">
        <v>15</v>
      </c>
    </row>
    <row r="11" spans="1:6" x14ac:dyDescent="0.2">
      <c r="A11" t="s">
        <v>297</v>
      </c>
      <c r="B11">
        <v>8</v>
      </c>
      <c r="C11">
        <v>0</v>
      </c>
      <c r="D11">
        <v>7</v>
      </c>
      <c r="E11">
        <v>0</v>
      </c>
      <c r="F11">
        <v>15</v>
      </c>
    </row>
    <row r="12" spans="1:6" x14ac:dyDescent="0.2">
      <c r="A12" t="s">
        <v>298</v>
      </c>
      <c r="B12">
        <v>0</v>
      </c>
      <c r="C12">
        <v>0</v>
      </c>
      <c r="D12">
        <v>0</v>
      </c>
      <c r="E12">
        <v>0</v>
      </c>
      <c r="F12">
        <v>0</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17"/>
  <sheetViews>
    <sheetView zoomScaleNormal="100" zoomScalePageLayoutView="60" workbookViewId="0"/>
  </sheetViews>
  <sheetFormatPr defaultColWidth="8.25" defaultRowHeight="14.25" x14ac:dyDescent="0.2"/>
  <cols>
    <col min="1" max="1" width="14.25" customWidth="1"/>
    <col min="2" max="2" width="21.25" customWidth="1"/>
    <col min="3" max="3" width="23.25" customWidth="1"/>
    <col min="4" max="4" width="28.5" customWidth="1"/>
    <col min="5" max="5" width="17.75" customWidth="1"/>
    <col min="6" max="6" width="10.375" customWidth="1"/>
  </cols>
  <sheetData>
    <row r="1" spans="1:6" x14ac:dyDescent="0.2">
      <c r="A1" t="s">
        <v>301</v>
      </c>
    </row>
    <row r="2" spans="1:6" x14ac:dyDescent="0.2">
      <c r="A2" t="s">
        <v>254</v>
      </c>
    </row>
    <row r="3" spans="1:6" x14ac:dyDescent="0.2">
      <c r="A3" t="s">
        <v>235</v>
      </c>
    </row>
    <row r="4" spans="1:6" x14ac:dyDescent="0.2">
      <c r="A4" t="s">
        <v>302</v>
      </c>
    </row>
    <row r="5" spans="1:6" x14ac:dyDescent="0.2">
      <c r="A5" t="s">
        <v>295</v>
      </c>
      <c r="B5" t="s">
        <v>297</v>
      </c>
      <c r="C5" t="s">
        <v>298</v>
      </c>
      <c r="D5" t="s">
        <v>303</v>
      </c>
      <c r="E5" t="s">
        <v>304</v>
      </c>
      <c r="F5" t="s">
        <v>216</v>
      </c>
    </row>
    <row r="6" spans="1:6" x14ac:dyDescent="0.2">
      <c r="A6" t="s">
        <v>296</v>
      </c>
    </row>
    <row r="7" spans="1:6" x14ac:dyDescent="0.2">
      <c r="A7">
        <v>2018</v>
      </c>
      <c r="B7">
        <v>2368</v>
      </c>
      <c r="C7">
        <v>416</v>
      </c>
      <c r="D7">
        <v>75</v>
      </c>
      <c r="E7">
        <v>2859</v>
      </c>
    </row>
    <row r="8" spans="1:6" x14ac:dyDescent="0.2">
      <c r="A8">
        <v>2019</v>
      </c>
      <c r="B8">
        <v>2220</v>
      </c>
      <c r="C8">
        <v>395</v>
      </c>
      <c r="D8">
        <v>76</v>
      </c>
      <c r="E8">
        <v>2691</v>
      </c>
    </row>
    <row r="9" spans="1:6" x14ac:dyDescent="0.2">
      <c r="A9">
        <v>2020</v>
      </c>
      <c r="B9">
        <v>2268</v>
      </c>
      <c r="C9">
        <v>380</v>
      </c>
      <c r="D9">
        <v>82</v>
      </c>
      <c r="E9">
        <v>2730</v>
      </c>
    </row>
    <row r="10" spans="1:6" x14ac:dyDescent="0.2">
      <c r="A10">
        <v>2021</v>
      </c>
      <c r="B10">
        <v>2469</v>
      </c>
      <c r="C10">
        <v>408</v>
      </c>
      <c r="D10">
        <v>86</v>
      </c>
      <c r="E10">
        <v>2963</v>
      </c>
    </row>
    <row r="11" spans="1:6" x14ac:dyDescent="0.2">
      <c r="A11">
        <v>2022</v>
      </c>
      <c r="B11">
        <v>2326</v>
      </c>
      <c r="C11">
        <v>415</v>
      </c>
      <c r="D11">
        <v>86</v>
      </c>
      <c r="E11">
        <v>2827</v>
      </c>
    </row>
    <row r="12" spans="1:6" x14ac:dyDescent="0.2">
      <c r="A12" t="s">
        <v>305</v>
      </c>
    </row>
    <row r="13" spans="1:6" x14ac:dyDescent="0.2">
      <c r="A13">
        <v>2018</v>
      </c>
      <c r="B13">
        <v>50</v>
      </c>
      <c r="C13">
        <v>0</v>
      </c>
      <c r="D13" t="s">
        <v>306</v>
      </c>
      <c r="E13">
        <v>50</v>
      </c>
      <c r="F13" t="s">
        <v>307</v>
      </c>
    </row>
    <row r="14" spans="1:6" x14ac:dyDescent="0.2">
      <c r="A14">
        <v>2019</v>
      </c>
      <c r="B14">
        <v>76</v>
      </c>
      <c r="C14">
        <v>0</v>
      </c>
      <c r="D14" t="s">
        <v>306</v>
      </c>
      <c r="E14">
        <v>76</v>
      </c>
      <c r="F14" t="s">
        <v>307</v>
      </c>
    </row>
    <row r="15" spans="1:6" x14ac:dyDescent="0.2">
      <c r="A15">
        <v>2020</v>
      </c>
      <c r="B15">
        <v>76</v>
      </c>
      <c r="C15">
        <v>5</v>
      </c>
      <c r="D15" t="s">
        <v>306</v>
      </c>
      <c r="E15">
        <v>81</v>
      </c>
      <c r="F15" t="s">
        <v>307</v>
      </c>
    </row>
    <row r="16" spans="1:6" x14ac:dyDescent="0.2">
      <c r="A16">
        <v>2021</v>
      </c>
      <c r="B16">
        <v>12</v>
      </c>
      <c r="C16">
        <v>0</v>
      </c>
      <c r="D16" t="s">
        <v>306</v>
      </c>
      <c r="E16">
        <v>12</v>
      </c>
      <c r="F16" t="s">
        <v>307</v>
      </c>
    </row>
    <row r="17" spans="1:6" x14ac:dyDescent="0.2">
      <c r="A17">
        <v>2022</v>
      </c>
      <c r="B17">
        <v>15</v>
      </c>
      <c r="C17">
        <v>0</v>
      </c>
      <c r="D17" t="s">
        <v>306</v>
      </c>
      <c r="E17">
        <v>15</v>
      </c>
      <c r="F17" t="s">
        <v>307</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15"/>
  <sheetViews>
    <sheetView zoomScaleNormal="100" zoomScalePageLayoutView="60" workbookViewId="0"/>
  </sheetViews>
  <sheetFormatPr defaultColWidth="8.25" defaultRowHeight="14.25" x14ac:dyDescent="0.2"/>
  <cols>
    <col min="2" max="2" width="27" customWidth="1"/>
    <col min="3" max="3" width="19.75" customWidth="1"/>
    <col min="4" max="4" width="7.75" customWidth="1"/>
  </cols>
  <sheetData>
    <row r="1" spans="1:4" x14ac:dyDescent="0.2">
      <c r="A1" t="s">
        <v>308</v>
      </c>
    </row>
    <row r="2" spans="1:4" x14ac:dyDescent="0.2">
      <c r="A2" t="s">
        <v>309</v>
      </c>
    </row>
    <row r="3" spans="1:4" x14ac:dyDescent="0.2">
      <c r="A3" t="s">
        <v>235</v>
      </c>
    </row>
    <row r="4" spans="1:4" x14ac:dyDescent="0.2">
      <c r="A4" t="s">
        <v>201</v>
      </c>
    </row>
    <row r="5" spans="1:4" x14ac:dyDescent="0.2">
      <c r="A5" t="s">
        <v>157</v>
      </c>
      <c r="B5" t="s">
        <v>310</v>
      </c>
      <c r="C5" t="s">
        <v>311</v>
      </c>
      <c r="D5" t="s">
        <v>209</v>
      </c>
    </row>
    <row r="6" spans="1:4" x14ac:dyDescent="0.2">
      <c r="A6">
        <v>2013</v>
      </c>
      <c r="B6">
        <v>465</v>
      </c>
      <c r="C6">
        <v>83</v>
      </c>
      <c r="D6">
        <v>548</v>
      </c>
    </row>
    <row r="7" spans="1:4" x14ac:dyDescent="0.2">
      <c r="A7">
        <v>2014</v>
      </c>
      <c r="B7">
        <v>465</v>
      </c>
      <c r="C7">
        <v>97</v>
      </c>
      <c r="D7">
        <v>562</v>
      </c>
    </row>
    <row r="8" spans="1:4" x14ac:dyDescent="0.2">
      <c r="A8">
        <v>2015</v>
      </c>
      <c r="B8">
        <v>435</v>
      </c>
      <c r="C8">
        <v>101</v>
      </c>
      <c r="D8">
        <v>536</v>
      </c>
    </row>
    <row r="9" spans="1:4" x14ac:dyDescent="0.2">
      <c r="A9">
        <v>2016</v>
      </c>
      <c r="B9">
        <v>423</v>
      </c>
      <c r="C9">
        <v>82</v>
      </c>
      <c r="D9">
        <v>505</v>
      </c>
    </row>
    <row r="10" spans="1:4" x14ac:dyDescent="0.2">
      <c r="A10">
        <v>2017</v>
      </c>
      <c r="B10">
        <v>442</v>
      </c>
      <c r="C10">
        <v>61</v>
      </c>
      <c r="D10">
        <v>503</v>
      </c>
    </row>
    <row r="11" spans="1:4" x14ac:dyDescent="0.2">
      <c r="A11">
        <v>2018</v>
      </c>
      <c r="B11">
        <v>486</v>
      </c>
      <c r="C11">
        <v>55</v>
      </c>
      <c r="D11">
        <v>541</v>
      </c>
    </row>
    <row r="12" spans="1:4" x14ac:dyDescent="0.2">
      <c r="A12">
        <v>2019</v>
      </c>
      <c r="B12">
        <v>464</v>
      </c>
      <c r="C12">
        <v>61</v>
      </c>
      <c r="D12">
        <v>525</v>
      </c>
    </row>
    <row r="13" spans="1:4" x14ac:dyDescent="0.2">
      <c r="A13">
        <v>2020</v>
      </c>
      <c r="B13">
        <v>383</v>
      </c>
      <c r="C13">
        <v>87</v>
      </c>
      <c r="D13">
        <v>470</v>
      </c>
    </row>
    <row r="14" spans="1:4" x14ac:dyDescent="0.2">
      <c r="A14">
        <v>2021</v>
      </c>
      <c r="B14">
        <v>399</v>
      </c>
      <c r="C14">
        <v>83</v>
      </c>
      <c r="D14">
        <v>482</v>
      </c>
    </row>
    <row r="15" spans="1:4" x14ac:dyDescent="0.2">
      <c r="A15">
        <v>2022</v>
      </c>
      <c r="B15">
        <v>403</v>
      </c>
      <c r="C15">
        <v>70</v>
      </c>
      <c r="D15">
        <v>473</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34"/>
  <sheetViews>
    <sheetView zoomScaleNormal="100" zoomScalePageLayoutView="60" workbookViewId="0"/>
  </sheetViews>
  <sheetFormatPr defaultColWidth="8.25" defaultRowHeight="14.25" x14ac:dyDescent="0.2"/>
  <cols>
    <col min="2" max="2" width="17.625" customWidth="1"/>
    <col min="3" max="3" width="19.75" customWidth="1"/>
    <col min="4" max="4" width="10.25" customWidth="1"/>
    <col min="5" max="5" width="7.75" customWidth="1"/>
  </cols>
  <sheetData>
    <row r="1" spans="1:5" x14ac:dyDescent="0.2">
      <c r="A1" t="s">
        <v>312</v>
      </c>
    </row>
    <row r="2" spans="1:5" x14ac:dyDescent="0.2">
      <c r="A2" t="s">
        <v>309</v>
      </c>
    </row>
    <row r="3" spans="1:5" x14ac:dyDescent="0.2">
      <c r="A3" t="s">
        <v>235</v>
      </c>
    </row>
    <row r="4" spans="1:5" x14ac:dyDescent="0.2">
      <c r="A4" t="s">
        <v>201</v>
      </c>
    </row>
    <row r="5" spans="1:5" x14ac:dyDescent="0.2">
      <c r="A5" t="s">
        <v>157</v>
      </c>
      <c r="B5" t="s">
        <v>313</v>
      </c>
      <c r="C5" t="s">
        <v>311</v>
      </c>
      <c r="D5" t="s">
        <v>314</v>
      </c>
      <c r="E5" t="s">
        <v>209</v>
      </c>
    </row>
    <row r="6" spans="1:5" x14ac:dyDescent="0.2">
      <c r="A6">
        <v>1994</v>
      </c>
      <c r="B6">
        <v>1294</v>
      </c>
      <c r="C6">
        <v>194</v>
      </c>
      <c r="D6">
        <v>5</v>
      </c>
      <c r="E6">
        <v>1493</v>
      </c>
    </row>
    <row r="7" spans="1:5" x14ac:dyDescent="0.2">
      <c r="A7">
        <v>1995</v>
      </c>
      <c r="B7">
        <v>1302</v>
      </c>
      <c r="C7">
        <v>288</v>
      </c>
      <c r="D7">
        <v>4</v>
      </c>
      <c r="E7">
        <v>1594</v>
      </c>
    </row>
    <row r="8" spans="1:5" x14ac:dyDescent="0.2">
      <c r="A8">
        <v>1996</v>
      </c>
      <c r="B8">
        <v>1055</v>
      </c>
      <c r="C8">
        <v>305</v>
      </c>
      <c r="D8">
        <v>0</v>
      </c>
      <c r="E8">
        <v>1360</v>
      </c>
    </row>
    <row r="9" spans="1:5" x14ac:dyDescent="0.2">
      <c r="A9">
        <v>1997</v>
      </c>
      <c r="B9">
        <v>1138</v>
      </c>
      <c r="C9">
        <v>279</v>
      </c>
      <c r="D9">
        <v>20</v>
      </c>
      <c r="E9">
        <v>1437</v>
      </c>
    </row>
    <row r="10" spans="1:5" x14ac:dyDescent="0.2">
      <c r="A10">
        <v>1998</v>
      </c>
      <c r="B10">
        <v>1024</v>
      </c>
      <c r="C10">
        <v>277</v>
      </c>
      <c r="D10">
        <v>15</v>
      </c>
      <c r="E10">
        <v>1316</v>
      </c>
    </row>
    <row r="11" spans="1:5" x14ac:dyDescent="0.2">
      <c r="A11">
        <v>1999</v>
      </c>
      <c r="B11">
        <v>851</v>
      </c>
      <c r="C11">
        <v>295</v>
      </c>
      <c r="D11">
        <v>9</v>
      </c>
      <c r="E11">
        <v>1155</v>
      </c>
    </row>
    <row r="12" spans="1:5" x14ac:dyDescent="0.2">
      <c r="A12">
        <v>2000</v>
      </c>
      <c r="B12">
        <v>895</v>
      </c>
      <c r="C12">
        <v>308</v>
      </c>
      <c r="D12">
        <v>19</v>
      </c>
      <c r="E12">
        <v>1222</v>
      </c>
    </row>
    <row r="13" spans="1:5" x14ac:dyDescent="0.2">
      <c r="A13">
        <v>2001</v>
      </c>
      <c r="B13">
        <v>877</v>
      </c>
      <c r="C13">
        <v>323</v>
      </c>
      <c r="D13">
        <v>0</v>
      </c>
      <c r="E13">
        <v>1200</v>
      </c>
    </row>
    <row r="14" spans="1:5" x14ac:dyDescent="0.2">
      <c r="A14">
        <v>2002</v>
      </c>
      <c r="B14">
        <v>906</v>
      </c>
      <c r="C14">
        <v>307</v>
      </c>
      <c r="D14">
        <v>0</v>
      </c>
      <c r="E14">
        <v>1213</v>
      </c>
    </row>
    <row r="15" spans="1:5" x14ac:dyDescent="0.2">
      <c r="A15">
        <v>2003</v>
      </c>
      <c r="B15">
        <v>919</v>
      </c>
      <c r="C15">
        <v>234</v>
      </c>
      <c r="D15">
        <v>0</v>
      </c>
      <c r="E15">
        <v>1153</v>
      </c>
    </row>
    <row r="16" spans="1:5" x14ac:dyDescent="0.2">
      <c r="A16">
        <v>2004</v>
      </c>
      <c r="B16">
        <v>697</v>
      </c>
      <c r="C16">
        <v>143</v>
      </c>
      <c r="D16">
        <v>0</v>
      </c>
      <c r="E16">
        <v>840</v>
      </c>
    </row>
    <row r="17" spans="1:5" x14ac:dyDescent="0.2">
      <c r="A17">
        <v>2005</v>
      </c>
      <c r="B17">
        <v>714</v>
      </c>
      <c r="C17">
        <v>138</v>
      </c>
      <c r="D17">
        <v>0</v>
      </c>
      <c r="E17">
        <v>852</v>
      </c>
    </row>
    <row r="18" spans="1:5" x14ac:dyDescent="0.2">
      <c r="A18">
        <v>2006</v>
      </c>
      <c r="B18">
        <v>534.5</v>
      </c>
      <c r="C18">
        <v>145</v>
      </c>
      <c r="D18">
        <v>0</v>
      </c>
      <c r="E18">
        <v>679.5</v>
      </c>
    </row>
    <row r="19" spans="1:5" x14ac:dyDescent="0.2">
      <c r="A19">
        <v>2007</v>
      </c>
      <c r="B19">
        <v>472</v>
      </c>
      <c r="C19">
        <v>161</v>
      </c>
      <c r="D19">
        <v>0</v>
      </c>
      <c r="E19">
        <v>633</v>
      </c>
    </row>
    <row r="20" spans="1:5" x14ac:dyDescent="0.2">
      <c r="A20">
        <v>2008</v>
      </c>
      <c r="B20">
        <v>515</v>
      </c>
      <c r="C20">
        <v>152</v>
      </c>
      <c r="D20">
        <v>0</v>
      </c>
      <c r="E20">
        <v>667</v>
      </c>
    </row>
    <row r="21" spans="1:5" x14ac:dyDescent="0.2">
      <c r="A21">
        <v>2009</v>
      </c>
      <c r="B21">
        <v>511</v>
      </c>
      <c r="C21">
        <v>120</v>
      </c>
      <c r="D21">
        <v>0</v>
      </c>
      <c r="E21">
        <v>631</v>
      </c>
    </row>
    <row r="22" spans="1:5" x14ac:dyDescent="0.2">
      <c r="A22">
        <v>2010</v>
      </c>
      <c r="B22">
        <v>428</v>
      </c>
      <c r="C22">
        <v>98</v>
      </c>
      <c r="D22">
        <v>0</v>
      </c>
      <c r="E22">
        <v>526</v>
      </c>
    </row>
    <row r="23" spans="1:5" x14ac:dyDescent="0.2">
      <c r="A23">
        <v>2011</v>
      </c>
      <c r="B23">
        <v>453</v>
      </c>
      <c r="C23">
        <v>99</v>
      </c>
      <c r="D23">
        <v>0</v>
      </c>
      <c r="E23">
        <v>552</v>
      </c>
    </row>
    <row r="24" spans="1:5" x14ac:dyDescent="0.2">
      <c r="A24">
        <v>2012</v>
      </c>
      <c r="B24">
        <v>461</v>
      </c>
      <c r="C24">
        <v>79</v>
      </c>
      <c r="D24">
        <v>0</v>
      </c>
      <c r="E24">
        <v>540</v>
      </c>
    </row>
    <row r="25" spans="1:5" x14ac:dyDescent="0.2">
      <c r="A25">
        <v>2013</v>
      </c>
      <c r="B25">
        <v>465</v>
      </c>
      <c r="C25">
        <v>83</v>
      </c>
      <c r="D25">
        <v>0</v>
      </c>
      <c r="E25">
        <v>548</v>
      </c>
    </row>
    <row r="26" spans="1:5" x14ac:dyDescent="0.2">
      <c r="A26">
        <v>2014</v>
      </c>
      <c r="B26">
        <v>465</v>
      </c>
      <c r="C26">
        <v>97</v>
      </c>
      <c r="D26">
        <v>0</v>
      </c>
      <c r="E26">
        <v>562</v>
      </c>
    </row>
    <row r="27" spans="1:5" x14ac:dyDescent="0.2">
      <c r="A27">
        <v>2015</v>
      </c>
      <c r="B27">
        <v>435</v>
      </c>
      <c r="C27">
        <v>101</v>
      </c>
      <c r="D27">
        <v>0</v>
      </c>
      <c r="E27">
        <v>536</v>
      </c>
    </row>
    <row r="28" spans="1:5" x14ac:dyDescent="0.2">
      <c r="A28">
        <v>2016</v>
      </c>
      <c r="B28">
        <v>423</v>
      </c>
      <c r="C28">
        <v>82</v>
      </c>
      <c r="D28">
        <v>0</v>
      </c>
      <c r="E28">
        <v>505</v>
      </c>
    </row>
    <row r="29" spans="1:5" x14ac:dyDescent="0.2">
      <c r="A29">
        <v>2017</v>
      </c>
      <c r="B29">
        <v>442</v>
      </c>
      <c r="C29">
        <v>61</v>
      </c>
      <c r="D29">
        <v>0</v>
      </c>
      <c r="E29">
        <v>503</v>
      </c>
    </row>
    <row r="30" spans="1:5" x14ac:dyDescent="0.2">
      <c r="A30">
        <v>2018</v>
      </c>
      <c r="B30">
        <v>486</v>
      </c>
      <c r="C30">
        <v>55</v>
      </c>
      <c r="D30">
        <v>0</v>
      </c>
      <c r="E30">
        <v>541</v>
      </c>
    </row>
    <row r="31" spans="1:5" x14ac:dyDescent="0.2">
      <c r="A31">
        <v>2019</v>
      </c>
      <c r="B31">
        <v>464</v>
      </c>
      <c r="C31">
        <v>61</v>
      </c>
      <c r="D31">
        <v>0</v>
      </c>
      <c r="E31">
        <v>525</v>
      </c>
    </row>
    <row r="32" spans="1:5" x14ac:dyDescent="0.2">
      <c r="A32">
        <v>2020</v>
      </c>
      <c r="B32">
        <v>383</v>
      </c>
      <c r="C32">
        <v>87</v>
      </c>
      <c r="D32">
        <v>0</v>
      </c>
      <c r="E32">
        <v>470</v>
      </c>
    </row>
    <row r="33" spans="1:5" x14ac:dyDescent="0.2">
      <c r="A33">
        <v>2021</v>
      </c>
      <c r="B33">
        <v>399</v>
      </c>
      <c r="C33">
        <v>83</v>
      </c>
      <c r="D33">
        <v>0</v>
      </c>
      <c r="E33">
        <v>482</v>
      </c>
    </row>
    <row r="34" spans="1:5" x14ac:dyDescent="0.2">
      <c r="A34">
        <v>2022</v>
      </c>
      <c r="B34">
        <v>403</v>
      </c>
      <c r="C34">
        <v>70</v>
      </c>
      <c r="D34">
        <v>0</v>
      </c>
      <c r="E34">
        <v>473</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5"/>
  <sheetViews>
    <sheetView zoomScaleNormal="100" zoomScalePageLayoutView="60" workbookViewId="0"/>
  </sheetViews>
  <sheetFormatPr defaultColWidth="8.25" defaultRowHeight="14.25" x14ac:dyDescent="0.2"/>
  <cols>
    <col min="2" max="2" width="31.625" customWidth="1"/>
    <col min="3" max="3" width="22.75" customWidth="1"/>
    <col min="4" max="4" width="35.125" customWidth="1"/>
    <col min="5" max="5" width="28.25" customWidth="1"/>
  </cols>
  <sheetData>
    <row r="1" spans="1:5" x14ac:dyDescent="0.2">
      <c r="A1" t="s">
        <v>315</v>
      </c>
    </row>
    <row r="2" spans="1:5" x14ac:dyDescent="0.2">
      <c r="A2" t="s">
        <v>316</v>
      </c>
    </row>
    <row r="3" spans="1:5" x14ac:dyDescent="0.2">
      <c r="A3" t="s">
        <v>235</v>
      </c>
    </row>
    <row r="4" spans="1:5" x14ac:dyDescent="0.2">
      <c r="A4" t="s">
        <v>317</v>
      </c>
    </row>
    <row r="5" spans="1:5" x14ac:dyDescent="0.2">
      <c r="A5" t="s">
        <v>157</v>
      </c>
      <c r="B5" t="s">
        <v>318</v>
      </c>
      <c r="C5" t="s">
        <v>319</v>
      </c>
      <c r="D5" t="s">
        <v>320</v>
      </c>
      <c r="E5" t="s">
        <v>321</v>
      </c>
    </row>
    <row r="6" spans="1:5" x14ac:dyDescent="0.2">
      <c r="A6">
        <v>2013</v>
      </c>
      <c r="B6">
        <v>802</v>
      </c>
      <c r="C6">
        <v>1851</v>
      </c>
      <c r="D6">
        <v>1908</v>
      </c>
      <c r="E6">
        <v>4561</v>
      </c>
    </row>
    <row r="7" spans="1:5" x14ac:dyDescent="0.2">
      <c r="A7">
        <v>2014</v>
      </c>
      <c r="B7">
        <v>768</v>
      </c>
      <c r="C7">
        <v>1801</v>
      </c>
      <c r="D7">
        <v>1828</v>
      </c>
      <c r="E7">
        <v>4397</v>
      </c>
    </row>
    <row r="8" spans="1:5" x14ac:dyDescent="0.2">
      <c r="A8">
        <v>2015</v>
      </c>
      <c r="B8">
        <v>772</v>
      </c>
      <c r="C8">
        <v>1894</v>
      </c>
      <c r="D8">
        <v>1304</v>
      </c>
      <c r="E8">
        <v>3970</v>
      </c>
    </row>
    <row r="9" spans="1:5" x14ac:dyDescent="0.2">
      <c r="A9">
        <v>2016</v>
      </c>
      <c r="B9">
        <v>730</v>
      </c>
      <c r="C9">
        <v>1800</v>
      </c>
      <c r="D9">
        <v>1147</v>
      </c>
      <c r="E9">
        <v>3677</v>
      </c>
    </row>
    <row r="10" spans="1:5" x14ac:dyDescent="0.2">
      <c r="A10">
        <v>2017</v>
      </c>
      <c r="B10">
        <v>734.19030334456795</v>
      </c>
      <c r="C10">
        <v>1935.4016852476</v>
      </c>
      <c r="D10">
        <v>1188.30801140783</v>
      </c>
      <c r="E10">
        <v>3857.9</v>
      </c>
    </row>
    <row r="11" spans="1:5" x14ac:dyDescent="0.2">
      <c r="A11">
        <v>2018</v>
      </c>
      <c r="B11">
        <v>737.81052631578996</v>
      </c>
      <c r="C11">
        <v>1903.51116816431</v>
      </c>
      <c r="D11">
        <v>1252.6783055199001</v>
      </c>
      <c r="E11">
        <v>3894</v>
      </c>
    </row>
    <row r="12" spans="1:5" x14ac:dyDescent="0.2">
      <c r="A12">
        <v>2019</v>
      </c>
      <c r="B12">
        <v>762</v>
      </c>
      <c r="C12">
        <v>1884</v>
      </c>
      <c r="D12">
        <v>1205</v>
      </c>
      <c r="E12">
        <v>3851</v>
      </c>
    </row>
    <row r="13" spans="1:5" x14ac:dyDescent="0.2">
      <c r="A13">
        <v>2020</v>
      </c>
      <c r="B13">
        <v>742</v>
      </c>
      <c r="C13">
        <v>1917</v>
      </c>
      <c r="D13">
        <v>972</v>
      </c>
      <c r="E13">
        <v>3631</v>
      </c>
    </row>
    <row r="14" spans="1:5" x14ac:dyDescent="0.2">
      <c r="A14">
        <v>2021</v>
      </c>
      <c r="B14">
        <v>690</v>
      </c>
      <c r="C14">
        <v>1898</v>
      </c>
      <c r="D14">
        <v>1054</v>
      </c>
      <c r="E14">
        <v>3642</v>
      </c>
    </row>
    <row r="15" spans="1:5" x14ac:dyDescent="0.2">
      <c r="A15">
        <v>2022</v>
      </c>
      <c r="B15">
        <v>737</v>
      </c>
      <c r="C15">
        <v>1842</v>
      </c>
      <c r="D15">
        <v>883</v>
      </c>
      <c r="E15">
        <v>3462</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15"/>
  <sheetViews>
    <sheetView zoomScaleNormal="100" zoomScalePageLayoutView="60" workbookViewId="0"/>
  </sheetViews>
  <sheetFormatPr defaultColWidth="8.25" defaultRowHeight="14.25" x14ac:dyDescent="0.2"/>
  <cols>
    <col min="2" max="2" width="26.5" customWidth="1"/>
    <col min="3" max="3" width="27" customWidth="1"/>
    <col min="4" max="4" width="12.375" customWidth="1"/>
    <col min="5" max="5" width="18.5" customWidth="1"/>
    <col min="6" max="6" width="20.375" customWidth="1"/>
    <col min="7" max="7" width="21" customWidth="1"/>
    <col min="8" max="8" width="7.75" customWidth="1"/>
  </cols>
  <sheetData>
    <row r="1" spans="1:8" x14ac:dyDescent="0.2">
      <c r="A1" t="s">
        <v>322</v>
      </c>
    </row>
    <row r="2" spans="1:8" x14ac:dyDescent="0.2">
      <c r="A2" t="s">
        <v>323</v>
      </c>
    </row>
    <row r="3" spans="1:8" x14ac:dyDescent="0.2">
      <c r="A3" t="s">
        <v>235</v>
      </c>
    </row>
    <row r="4" spans="1:8" x14ac:dyDescent="0.2">
      <c r="A4" t="s">
        <v>201</v>
      </c>
    </row>
    <row r="5" spans="1:8" x14ac:dyDescent="0.2">
      <c r="A5" t="s">
        <v>157</v>
      </c>
      <c r="B5" t="s">
        <v>324</v>
      </c>
      <c r="C5" t="s">
        <v>325</v>
      </c>
      <c r="D5" t="s">
        <v>311</v>
      </c>
      <c r="E5" t="s">
        <v>326</v>
      </c>
      <c r="F5" t="s">
        <v>327</v>
      </c>
      <c r="G5" t="s">
        <v>328</v>
      </c>
      <c r="H5" t="s">
        <v>209</v>
      </c>
    </row>
    <row r="6" spans="1:8" x14ac:dyDescent="0.2">
      <c r="A6">
        <v>2013</v>
      </c>
      <c r="B6">
        <v>1263</v>
      </c>
      <c r="C6">
        <v>0</v>
      </c>
      <c r="D6">
        <v>1709</v>
      </c>
      <c r="E6">
        <v>0</v>
      </c>
      <c r="F6">
        <v>0</v>
      </c>
      <c r="G6">
        <v>853</v>
      </c>
      <c r="H6">
        <f>SUM(Table_2_22!$B6:$G6)</f>
        <v>3825</v>
      </c>
    </row>
    <row r="7" spans="1:8" x14ac:dyDescent="0.2">
      <c r="A7">
        <v>2014</v>
      </c>
      <c r="B7">
        <v>1283</v>
      </c>
      <c r="C7">
        <v>0</v>
      </c>
      <c r="D7">
        <v>1809</v>
      </c>
      <c r="E7">
        <v>0</v>
      </c>
      <c r="F7">
        <v>0</v>
      </c>
      <c r="G7">
        <v>812</v>
      </c>
      <c r="H7">
        <f>SUM(Table_2_22!$B7:$G7)</f>
        <v>3904</v>
      </c>
    </row>
    <row r="8" spans="1:8" x14ac:dyDescent="0.2">
      <c r="A8">
        <v>2015</v>
      </c>
      <c r="B8">
        <v>1334</v>
      </c>
      <c r="C8">
        <v>0</v>
      </c>
      <c r="D8">
        <v>1687</v>
      </c>
      <c r="E8">
        <v>12</v>
      </c>
      <c r="F8">
        <v>5</v>
      </c>
      <c r="G8">
        <v>852</v>
      </c>
      <c r="H8">
        <f>SUM(Table_2_22!$B8:$G8)</f>
        <v>3890</v>
      </c>
    </row>
    <row r="9" spans="1:8" x14ac:dyDescent="0.2">
      <c r="A9">
        <v>2016</v>
      </c>
      <c r="B9">
        <v>1248</v>
      </c>
      <c r="C9">
        <v>0</v>
      </c>
      <c r="D9">
        <v>1749</v>
      </c>
      <c r="E9">
        <v>10</v>
      </c>
      <c r="F9">
        <v>29</v>
      </c>
      <c r="G9">
        <v>838</v>
      </c>
      <c r="H9">
        <f>SUM(Table_2_22!$B9:$G9)</f>
        <v>3874</v>
      </c>
    </row>
    <row r="10" spans="1:8" x14ac:dyDescent="0.2">
      <c r="A10">
        <v>2017</v>
      </c>
      <c r="B10">
        <v>1059</v>
      </c>
      <c r="C10">
        <v>0</v>
      </c>
      <c r="D10">
        <v>1726</v>
      </c>
      <c r="E10">
        <v>0</v>
      </c>
      <c r="F10">
        <v>22</v>
      </c>
      <c r="G10">
        <v>923</v>
      </c>
      <c r="H10">
        <f>SUM(Table_2_22!$B10:$G10)</f>
        <v>3730</v>
      </c>
    </row>
    <row r="11" spans="1:8" x14ac:dyDescent="0.2">
      <c r="A11">
        <v>2018</v>
      </c>
      <c r="B11">
        <v>1210</v>
      </c>
      <c r="C11">
        <v>1</v>
      </c>
      <c r="D11">
        <v>1566</v>
      </c>
      <c r="E11">
        <v>30</v>
      </c>
      <c r="F11">
        <v>74</v>
      </c>
      <c r="G11">
        <v>877</v>
      </c>
      <c r="H11">
        <f>SUM(Table_2_22!$B11:$G11)</f>
        <v>3758</v>
      </c>
    </row>
    <row r="12" spans="1:8" x14ac:dyDescent="0.2">
      <c r="A12">
        <v>2019</v>
      </c>
      <c r="B12">
        <v>1316</v>
      </c>
      <c r="C12">
        <v>0</v>
      </c>
      <c r="D12">
        <v>1468</v>
      </c>
      <c r="E12">
        <v>43</v>
      </c>
      <c r="F12">
        <v>78</v>
      </c>
      <c r="G12">
        <v>984</v>
      </c>
      <c r="H12">
        <f>SUM(Table_2_22!$B12:$G12)</f>
        <v>3889</v>
      </c>
    </row>
    <row r="13" spans="1:8" x14ac:dyDescent="0.2">
      <c r="A13">
        <v>2020</v>
      </c>
      <c r="B13">
        <v>1248</v>
      </c>
      <c r="C13">
        <v>2</v>
      </c>
      <c r="D13">
        <v>1535</v>
      </c>
      <c r="E13">
        <v>22</v>
      </c>
      <c r="F13">
        <v>39</v>
      </c>
      <c r="G13">
        <v>982</v>
      </c>
      <c r="H13">
        <f>SUM(Table_2_22!$B13:$G13)</f>
        <v>3828</v>
      </c>
    </row>
    <row r="14" spans="1:8" x14ac:dyDescent="0.2">
      <c r="A14">
        <v>2021</v>
      </c>
      <c r="B14">
        <v>1508</v>
      </c>
      <c r="C14">
        <v>3</v>
      </c>
      <c r="D14">
        <v>1516</v>
      </c>
      <c r="E14">
        <v>33</v>
      </c>
      <c r="F14">
        <v>0</v>
      </c>
      <c r="G14">
        <v>1085</v>
      </c>
      <c r="H14">
        <f>SUM(Table_2_22!$B14:$G14)</f>
        <v>4145</v>
      </c>
    </row>
    <row r="15" spans="1:8" x14ac:dyDescent="0.2">
      <c r="A15">
        <v>2022</v>
      </c>
      <c r="B15">
        <v>1229</v>
      </c>
      <c r="C15">
        <v>5</v>
      </c>
      <c r="D15">
        <v>1198</v>
      </c>
      <c r="E15">
        <v>93</v>
      </c>
      <c r="F15">
        <v>0</v>
      </c>
      <c r="G15">
        <v>1041</v>
      </c>
      <c r="H15">
        <v>3566</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34"/>
  <sheetViews>
    <sheetView zoomScaleNormal="100" zoomScalePageLayoutView="60" workbookViewId="0"/>
  </sheetViews>
  <sheetFormatPr defaultColWidth="8.25" defaultRowHeight="14.25" x14ac:dyDescent="0.2"/>
  <cols>
    <col min="2" max="2" width="17.625" customWidth="1"/>
    <col min="3" max="3" width="19.75" customWidth="1"/>
    <col min="4" max="4" width="10.25" customWidth="1"/>
    <col min="5" max="5" width="32.25" customWidth="1"/>
  </cols>
  <sheetData>
    <row r="1" spans="1:5" x14ac:dyDescent="0.2">
      <c r="A1" t="s">
        <v>329</v>
      </c>
    </row>
    <row r="2" spans="1:5" x14ac:dyDescent="0.2">
      <c r="A2" t="s">
        <v>323</v>
      </c>
    </row>
    <row r="3" spans="1:5" x14ac:dyDescent="0.2">
      <c r="A3" t="s">
        <v>235</v>
      </c>
    </row>
    <row r="4" spans="1:5" x14ac:dyDescent="0.2">
      <c r="A4" t="s">
        <v>330</v>
      </c>
    </row>
    <row r="5" spans="1:5" x14ac:dyDescent="0.2">
      <c r="A5" t="s">
        <v>157</v>
      </c>
      <c r="B5" t="s">
        <v>313</v>
      </c>
      <c r="C5" t="s">
        <v>311</v>
      </c>
      <c r="D5" t="s">
        <v>314</v>
      </c>
      <c r="E5" t="s">
        <v>331</v>
      </c>
    </row>
    <row r="6" spans="1:5" x14ac:dyDescent="0.2">
      <c r="A6">
        <v>1994</v>
      </c>
      <c r="B6">
        <v>1503</v>
      </c>
      <c r="C6">
        <v>1389</v>
      </c>
      <c r="D6">
        <v>0</v>
      </c>
      <c r="E6" t="s">
        <v>306</v>
      </c>
    </row>
    <row r="7" spans="1:5" x14ac:dyDescent="0.2">
      <c r="A7">
        <v>1995</v>
      </c>
      <c r="B7">
        <v>1812</v>
      </c>
      <c r="C7">
        <v>1542</v>
      </c>
      <c r="D7">
        <v>10</v>
      </c>
      <c r="E7" t="s">
        <v>306</v>
      </c>
    </row>
    <row r="8" spans="1:5" x14ac:dyDescent="0.2">
      <c r="A8">
        <v>1996</v>
      </c>
      <c r="B8">
        <v>1591</v>
      </c>
      <c r="C8">
        <v>1570</v>
      </c>
      <c r="D8">
        <v>10</v>
      </c>
      <c r="E8" t="s">
        <v>306</v>
      </c>
    </row>
    <row r="9" spans="1:5" x14ac:dyDescent="0.2">
      <c r="A9">
        <v>1997</v>
      </c>
      <c r="B9">
        <v>1808</v>
      </c>
      <c r="C9">
        <v>1784</v>
      </c>
      <c r="D9">
        <v>10</v>
      </c>
      <c r="E9" t="s">
        <v>306</v>
      </c>
    </row>
    <row r="10" spans="1:5" x14ac:dyDescent="0.2">
      <c r="A10">
        <v>1998</v>
      </c>
      <c r="B10">
        <v>1604</v>
      </c>
      <c r="C10">
        <v>1740</v>
      </c>
      <c r="D10">
        <v>10</v>
      </c>
      <c r="E10" t="s">
        <v>306</v>
      </c>
    </row>
    <row r="11" spans="1:5" x14ac:dyDescent="0.2">
      <c r="A11">
        <v>1999</v>
      </c>
      <c r="B11">
        <v>1665</v>
      </c>
      <c r="C11">
        <v>1532</v>
      </c>
      <c r="D11">
        <v>10</v>
      </c>
      <c r="E11">
        <v>400</v>
      </c>
    </row>
    <row r="12" spans="1:5" x14ac:dyDescent="0.2">
      <c r="A12">
        <v>2000</v>
      </c>
      <c r="B12">
        <v>1735</v>
      </c>
      <c r="C12">
        <v>1871</v>
      </c>
      <c r="D12">
        <v>14</v>
      </c>
      <c r="E12">
        <v>488</v>
      </c>
    </row>
    <row r="13" spans="1:5" x14ac:dyDescent="0.2">
      <c r="A13">
        <v>2001</v>
      </c>
      <c r="B13">
        <v>1715</v>
      </c>
      <c r="C13">
        <v>1675</v>
      </c>
      <c r="D13">
        <v>38</v>
      </c>
      <c r="E13">
        <v>675</v>
      </c>
    </row>
    <row r="14" spans="1:5" x14ac:dyDescent="0.2">
      <c r="A14">
        <v>2002</v>
      </c>
      <c r="B14">
        <v>1499</v>
      </c>
      <c r="C14">
        <v>1669</v>
      </c>
      <c r="D14">
        <v>13</v>
      </c>
      <c r="E14">
        <v>932</v>
      </c>
    </row>
    <row r="15" spans="1:5" x14ac:dyDescent="0.2">
      <c r="A15">
        <v>2003</v>
      </c>
      <c r="B15">
        <v>1490</v>
      </c>
      <c r="C15">
        <v>1686</v>
      </c>
      <c r="D15">
        <v>22</v>
      </c>
      <c r="E15">
        <v>993</v>
      </c>
    </row>
    <row r="16" spans="1:5" x14ac:dyDescent="0.2">
      <c r="A16">
        <v>2004</v>
      </c>
      <c r="B16">
        <v>1527</v>
      </c>
      <c r="C16">
        <v>1778</v>
      </c>
      <c r="D16">
        <v>9</v>
      </c>
      <c r="E16">
        <v>1078</v>
      </c>
    </row>
    <row r="17" spans="1:5" x14ac:dyDescent="0.2">
      <c r="A17">
        <v>2005</v>
      </c>
      <c r="B17">
        <v>1504</v>
      </c>
      <c r="C17">
        <v>1734</v>
      </c>
      <c r="D17">
        <v>6</v>
      </c>
      <c r="E17">
        <v>1043</v>
      </c>
    </row>
    <row r="18" spans="1:5" x14ac:dyDescent="0.2">
      <c r="A18">
        <v>2006</v>
      </c>
      <c r="B18">
        <v>1366</v>
      </c>
      <c r="C18">
        <v>1794</v>
      </c>
      <c r="D18">
        <v>3</v>
      </c>
      <c r="E18">
        <v>1173</v>
      </c>
    </row>
    <row r="19" spans="1:5" x14ac:dyDescent="0.2">
      <c r="A19">
        <v>2007</v>
      </c>
      <c r="B19">
        <v>1367</v>
      </c>
      <c r="C19">
        <v>1940</v>
      </c>
      <c r="D19">
        <v>2</v>
      </c>
      <c r="E19">
        <v>1230</v>
      </c>
    </row>
    <row r="20" spans="1:5" x14ac:dyDescent="0.2">
      <c r="A20">
        <v>2008</v>
      </c>
      <c r="B20">
        <v>1221</v>
      </c>
      <c r="C20">
        <v>1591</v>
      </c>
      <c r="D20">
        <v>0</v>
      </c>
      <c r="E20">
        <v>1119</v>
      </c>
    </row>
    <row r="21" spans="1:5" x14ac:dyDescent="0.2">
      <c r="A21">
        <v>2009</v>
      </c>
      <c r="B21">
        <v>1136</v>
      </c>
      <c r="C21">
        <v>1435</v>
      </c>
      <c r="D21">
        <v>0</v>
      </c>
      <c r="E21">
        <v>1065</v>
      </c>
    </row>
    <row r="22" spans="1:5" x14ac:dyDescent="0.2">
      <c r="A22">
        <v>2010</v>
      </c>
      <c r="B22">
        <v>1376</v>
      </c>
      <c r="C22">
        <v>1631</v>
      </c>
      <c r="D22">
        <v>8</v>
      </c>
      <c r="E22">
        <v>1120</v>
      </c>
    </row>
    <row r="23" spans="1:5" x14ac:dyDescent="0.2">
      <c r="A23">
        <v>2011</v>
      </c>
      <c r="B23">
        <v>1418</v>
      </c>
      <c r="C23">
        <v>1779</v>
      </c>
      <c r="D23">
        <v>0</v>
      </c>
      <c r="E23">
        <v>952</v>
      </c>
    </row>
    <row r="24" spans="1:5" x14ac:dyDescent="0.2">
      <c r="A24">
        <v>2012</v>
      </c>
      <c r="B24">
        <v>1271</v>
      </c>
      <c r="C24">
        <v>1851</v>
      </c>
      <c r="D24">
        <v>0</v>
      </c>
      <c r="E24">
        <v>909</v>
      </c>
    </row>
    <row r="25" spans="1:5" x14ac:dyDescent="0.2">
      <c r="A25">
        <v>2013</v>
      </c>
      <c r="B25">
        <v>1263</v>
      </c>
      <c r="C25">
        <v>1709</v>
      </c>
      <c r="D25">
        <v>0</v>
      </c>
      <c r="E25">
        <v>853</v>
      </c>
    </row>
    <row r="26" spans="1:5" x14ac:dyDescent="0.2">
      <c r="A26">
        <v>2014</v>
      </c>
      <c r="B26">
        <v>1283</v>
      </c>
      <c r="C26">
        <v>1809</v>
      </c>
      <c r="D26">
        <v>0</v>
      </c>
      <c r="E26">
        <v>812</v>
      </c>
    </row>
    <row r="27" spans="1:5" x14ac:dyDescent="0.2">
      <c r="A27">
        <v>2015</v>
      </c>
      <c r="B27">
        <v>1334</v>
      </c>
      <c r="C27">
        <v>1687</v>
      </c>
      <c r="D27">
        <v>17</v>
      </c>
      <c r="E27">
        <v>852</v>
      </c>
    </row>
    <row r="28" spans="1:5" x14ac:dyDescent="0.2">
      <c r="A28">
        <v>2016</v>
      </c>
      <c r="B28">
        <v>1248</v>
      </c>
      <c r="C28">
        <v>1749</v>
      </c>
      <c r="D28">
        <v>39</v>
      </c>
      <c r="E28">
        <v>838</v>
      </c>
    </row>
    <row r="29" spans="1:5" x14ac:dyDescent="0.2">
      <c r="A29">
        <v>2017</v>
      </c>
      <c r="B29">
        <v>1059</v>
      </c>
      <c r="C29">
        <v>1726</v>
      </c>
      <c r="D29">
        <v>22</v>
      </c>
      <c r="E29">
        <v>923</v>
      </c>
    </row>
    <row r="30" spans="1:5" x14ac:dyDescent="0.2">
      <c r="A30">
        <v>2018</v>
      </c>
      <c r="B30">
        <v>1211</v>
      </c>
      <c r="C30">
        <v>1566</v>
      </c>
      <c r="D30">
        <v>104</v>
      </c>
      <c r="E30">
        <v>877</v>
      </c>
    </row>
    <row r="31" spans="1:5" x14ac:dyDescent="0.2">
      <c r="A31">
        <v>2019</v>
      </c>
      <c r="B31">
        <v>1316</v>
      </c>
      <c r="C31">
        <v>1468</v>
      </c>
      <c r="D31">
        <v>121</v>
      </c>
      <c r="E31">
        <v>984</v>
      </c>
    </row>
    <row r="32" spans="1:5" x14ac:dyDescent="0.2">
      <c r="A32">
        <v>2020</v>
      </c>
      <c r="B32">
        <v>1250</v>
      </c>
      <c r="C32">
        <v>1535</v>
      </c>
      <c r="D32">
        <v>61</v>
      </c>
      <c r="E32">
        <v>982</v>
      </c>
    </row>
    <row r="33" spans="1:5" x14ac:dyDescent="0.2">
      <c r="A33">
        <v>2021</v>
      </c>
      <c r="B33">
        <v>1511</v>
      </c>
      <c r="C33">
        <v>1516</v>
      </c>
      <c r="D33">
        <v>33</v>
      </c>
      <c r="E33">
        <v>1085</v>
      </c>
    </row>
    <row r="34" spans="1:5" x14ac:dyDescent="0.2">
      <c r="A34">
        <v>2022</v>
      </c>
      <c r="B34">
        <v>1234</v>
      </c>
      <c r="C34">
        <v>1198</v>
      </c>
      <c r="D34">
        <v>93</v>
      </c>
      <c r="E34">
        <v>1041</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D15"/>
  <sheetViews>
    <sheetView zoomScaleNormal="100" zoomScalePageLayoutView="60" workbookViewId="0"/>
  </sheetViews>
  <sheetFormatPr defaultColWidth="8.25" defaultRowHeight="14.25" x14ac:dyDescent="0.2"/>
  <cols>
    <col min="2" max="2" width="25.375" customWidth="1"/>
    <col min="3" max="3" width="23.125" customWidth="1"/>
    <col min="4" max="4" width="7.75" customWidth="1"/>
  </cols>
  <sheetData>
    <row r="1" spans="1:4" x14ac:dyDescent="0.2">
      <c r="A1" t="s">
        <v>332</v>
      </c>
    </row>
    <row r="2" spans="1:4" x14ac:dyDescent="0.2">
      <c r="A2" t="s">
        <v>323</v>
      </c>
    </row>
    <row r="3" spans="1:4" x14ac:dyDescent="0.2">
      <c r="A3" t="s">
        <v>235</v>
      </c>
    </row>
    <row r="4" spans="1:4" x14ac:dyDescent="0.2">
      <c r="A4" t="s">
        <v>231</v>
      </c>
    </row>
    <row r="5" spans="1:4" x14ac:dyDescent="0.2">
      <c r="A5" t="s">
        <v>157</v>
      </c>
      <c r="B5" t="s">
        <v>333</v>
      </c>
      <c r="C5" t="s">
        <v>334</v>
      </c>
      <c r="D5" t="s">
        <v>209</v>
      </c>
    </row>
    <row r="6" spans="1:4" x14ac:dyDescent="0.2">
      <c r="A6">
        <v>2013</v>
      </c>
      <c r="B6">
        <v>2276</v>
      </c>
      <c r="C6">
        <v>756</v>
      </c>
      <c r="D6">
        <v>3032</v>
      </c>
    </row>
    <row r="7" spans="1:4" x14ac:dyDescent="0.2">
      <c r="A7">
        <v>2014</v>
      </c>
      <c r="B7">
        <v>2319</v>
      </c>
      <c r="C7">
        <v>749</v>
      </c>
      <c r="D7">
        <v>3068</v>
      </c>
    </row>
    <row r="8" spans="1:4" x14ac:dyDescent="0.2">
      <c r="A8">
        <v>2015</v>
      </c>
      <c r="B8">
        <v>2324</v>
      </c>
      <c r="C8">
        <v>756</v>
      </c>
      <c r="D8">
        <v>3080</v>
      </c>
    </row>
    <row r="9" spans="1:4" x14ac:dyDescent="0.2">
      <c r="A9">
        <v>2016</v>
      </c>
      <c r="B9">
        <v>2349</v>
      </c>
      <c r="C9">
        <v>684</v>
      </c>
      <c r="D9">
        <v>3033</v>
      </c>
    </row>
    <row r="10" spans="1:4" x14ac:dyDescent="0.2">
      <c r="A10">
        <v>2017</v>
      </c>
      <c r="B10">
        <v>2501</v>
      </c>
      <c r="C10">
        <v>675</v>
      </c>
      <c r="D10">
        <v>3176</v>
      </c>
    </row>
    <row r="11" spans="1:4" x14ac:dyDescent="0.2">
      <c r="A11">
        <v>2018</v>
      </c>
      <c r="B11">
        <v>2355</v>
      </c>
      <c r="C11">
        <v>724</v>
      </c>
      <c r="D11">
        <v>3079</v>
      </c>
    </row>
    <row r="12" spans="1:4" x14ac:dyDescent="0.2">
      <c r="A12">
        <v>2019</v>
      </c>
      <c r="B12">
        <v>2495</v>
      </c>
      <c r="C12">
        <v>751</v>
      </c>
      <c r="D12">
        <v>3246</v>
      </c>
    </row>
    <row r="13" spans="1:4" x14ac:dyDescent="0.2">
      <c r="A13">
        <v>2020</v>
      </c>
      <c r="B13">
        <v>2296</v>
      </c>
      <c r="C13">
        <v>656</v>
      </c>
      <c r="D13">
        <v>2952</v>
      </c>
    </row>
    <row r="14" spans="1:4" x14ac:dyDescent="0.2">
      <c r="A14">
        <v>2021</v>
      </c>
      <c r="B14">
        <v>2688</v>
      </c>
      <c r="C14">
        <v>798</v>
      </c>
      <c r="D14">
        <v>3486</v>
      </c>
    </row>
    <row r="15" spans="1:4" x14ac:dyDescent="0.2">
      <c r="A15">
        <v>2022</v>
      </c>
      <c r="B15">
        <v>2610</v>
      </c>
      <c r="C15">
        <v>856</v>
      </c>
      <c r="D15">
        <v>3466</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15"/>
  <sheetViews>
    <sheetView zoomScaleNormal="100" zoomScalePageLayoutView="60" workbookViewId="0"/>
  </sheetViews>
  <sheetFormatPr defaultColWidth="8.25" defaultRowHeight="14.25" x14ac:dyDescent="0.2"/>
  <cols>
    <col min="2" max="2" width="10.5" customWidth="1"/>
    <col min="3" max="3" width="21.625" customWidth="1"/>
    <col min="4" max="4" width="17.875" customWidth="1"/>
    <col min="5" max="5" width="7.75" customWidth="1"/>
  </cols>
  <sheetData>
    <row r="1" spans="1:5" x14ac:dyDescent="0.2">
      <c r="A1" t="s">
        <v>335</v>
      </c>
    </row>
    <row r="2" spans="1:5" x14ac:dyDescent="0.2">
      <c r="A2" t="s">
        <v>336</v>
      </c>
    </row>
    <row r="3" spans="1:5" x14ac:dyDescent="0.2">
      <c r="A3" t="s">
        <v>235</v>
      </c>
    </row>
    <row r="4" spans="1:5" x14ac:dyDescent="0.2">
      <c r="A4" t="s">
        <v>201</v>
      </c>
    </row>
    <row r="5" spans="1:5" x14ac:dyDescent="0.2">
      <c r="A5" t="s">
        <v>157</v>
      </c>
      <c r="B5" t="s">
        <v>205</v>
      </c>
      <c r="C5" t="s">
        <v>206</v>
      </c>
      <c r="D5" t="s">
        <v>207</v>
      </c>
      <c r="E5" t="s">
        <v>209</v>
      </c>
    </row>
    <row r="6" spans="1:5" x14ac:dyDescent="0.2">
      <c r="A6">
        <v>2013</v>
      </c>
      <c r="B6">
        <v>332</v>
      </c>
      <c r="C6">
        <v>1250</v>
      </c>
      <c r="D6">
        <v>191</v>
      </c>
      <c r="E6">
        <v>1773</v>
      </c>
    </row>
    <row r="7" spans="1:5" x14ac:dyDescent="0.2">
      <c r="A7">
        <v>2014</v>
      </c>
      <c r="B7">
        <v>317</v>
      </c>
      <c r="C7">
        <v>1500</v>
      </c>
      <c r="D7">
        <v>176</v>
      </c>
      <c r="E7">
        <v>1992</v>
      </c>
    </row>
    <row r="8" spans="1:5" x14ac:dyDescent="0.2">
      <c r="A8">
        <v>2015</v>
      </c>
      <c r="B8">
        <v>288</v>
      </c>
      <c r="C8">
        <v>1600</v>
      </c>
      <c r="D8">
        <v>164</v>
      </c>
      <c r="E8">
        <v>2052</v>
      </c>
    </row>
    <row r="9" spans="1:5" x14ac:dyDescent="0.2">
      <c r="A9">
        <v>2016</v>
      </c>
      <c r="B9">
        <v>277</v>
      </c>
      <c r="C9">
        <v>1550</v>
      </c>
      <c r="D9">
        <v>178</v>
      </c>
      <c r="E9">
        <v>2006</v>
      </c>
    </row>
    <row r="10" spans="1:5" x14ac:dyDescent="0.2">
      <c r="A10">
        <v>2017</v>
      </c>
      <c r="B10">
        <v>283</v>
      </c>
      <c r="C10">
        <v>1600</v>
      </c>
      <c r="D10">
        <v>170</v>
      </c>
      <c r="E10">
        <v>2053</v>
      </c>
    </row>
    <row r="11" spans="1:5" x14ac:dyDescent="0.2">
      <c r="A11">
        <v>2018</v>
      </c>
      <c r="B11">
        <v>255</v>
      </c>
      <c r="C11">
        <v>1900</v>
      </c>
      <c r="D11">
        <v>174</v>
      </c>
      <c r="E11">
        <v>2329</v>
      </c>
    </row>
    <row r="12" spans="1:5" x14ac:dyDescent="0.2">
      <c r="A12">
        <v>2019</v>
      </c>
      <c r="B12">
        <v>262</v>
      </c>
      <c r="C12">
        <v>1900</v>
      </c>
      <c r="D12">
        <v>183</v>
      </c>
      <c r="E12">
        <v>2346</v>
      </c>
    </row>
    <row r="13" spans="1:5" x14ac:dyDescent="0.2">
      <c r="A13">
        <v>2020</v>
      </c>
      <c r="B13">
        <v>258</v>
      </c>
      <c r="C13">
        <v>1850</v>
      </c>
      <c r="D13">
        <v>188</v>
      </c>
      <c r="E13">
        <v>2296</v>
      </c>
    </row>
    <row r="14" spans="1:5" x14ac:dyDescent="0.2">
      <c r="A14">
        <v>2021</v>
      </c>
      <c r="B14">
        <v>247</v>
      </c>
      <c r="C14">
        <v>1600</v>
      </c>
      <c r="D14">
        <v>176</v>
      </c>
      <c r="E14">
        <v>2022</v>
      </c>
    </row>
    <row r="15" spans="1:5" x14ac:dyDescent="0.2">
      <c r="A15">
        <v>2022</v>
      </c>
      <c r="B15">
        <v>232</v>
      </c>
      <c r="C15">
        <v>1600</v>
      </c>
      <c r="D15">
        <v>176</v>
      </c>
      <c r="E15">
        <v>2008</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15"/>
  <sheetViews>
    <sheetView zoomScaleNormal="100" zoomScalePageLayoutView="60" workbookViewId="0"/>
  </sheetViews>
  <sheetFormatPr defaultColWidth="8.25" defaultRowHeight="14.25" x14ac:dyDescent="0.2"/>
  <cols>
    <col min="2" max="2" width="5.75" customWidth="1"/>
    <col min="3" max="3" width="8.875" customWidth="1"/>
    <col min="4" max="4" width="10" customWidth="1"/>
    <col min="5" max="5" width="7" customWidth="1"/>
    <col min="6" max="6" width="7.75" customWidth="1"/>
  </cols>
  <sheetData>
    <row r="1" spans="1:6" x14ac:dyDescent="0.2">
      <c r="A1" t="s">
        <v>337</v>
      </c>
    </row>
    <row r="2" spans="1:6" x14ac:dyDescent="0.2">
      <c r="A2" t="s">
        <v>338</v>
      </c>
    </row>
    <row r="3" spans="1:6" x14ac:dyDescent="0.2">
      <c r="A3" t="s">
        <v>235</v>
      </c>
    </row>
    <row r="4" spans="1:6" x14ac:dyDescent="0.2">
      <c r="A4" t="s">
        <v>339</v>
      </c>
    </row>
    <row r="5" spans="1:6" x14ac:dyDescent="0.2">
      <c r="A5" t="s">
        <v>157</v>
      </c>
      <c r="B5" t="s">
        <v>237</v>
      </c>
      <c r="C5" t="s">
        <v>238</v>
      </c>
      <c r="D5" t="s">
        <v>239</v>
      </c>
      <c r="E5" t="s">
        <v>340</v>
      </c>
      <c r="F5" t="s">
        <v>209</v>
      </c>
    </row>
    <row r="6" spans="1:6" x14ac:dyDescent="0.2">
      <c r="A6">
        <v>2013</v>
      </c>
      <c r="B6">
        <v>20</v>
      </c>
      <c r="C6">
        <v>22</v>
      </c>
      <c r="D6">
        <v>11</v>
      </c>
      <c r="E6">
        <v>7</v>
      </c>
      <c r="F6">
        <v>60</v>
      </c>
    </row>
    <row r="7" spans="1:6" x14ac:dyDescent="0.2">
      <c r="A7">
        <v>2014</v>
      </c>
      <c r="B7">
        <v>18</v>
      </c>
      <c r="C7">
        <v>21</v>
      </c>
      <c r="D7">
        <v>10</v>
      </c>
      <c r="E7">
        <v>7</v>
      </c>
      <c r="F7">
        <v>56</v>
      </c>
    </row>
    <row r="8" spans="1:6" x14ac:dyDescent="0.2">
      <c r="A8">
        <v>2015</v>
      </c>
      <c r="B8">
        <v>15</v>
      </c>
      <c r="C8">
        <v>19</v>
      </c>
      <c r="D8">
        <v>10</v>
      </c>
      <c r="E8">
        <v>6</v>
      </c>
      <c r="F8">
        <v>50</v>
      </c>
    </row>
    <row r="9" spans="1:6" x14ac:dyDescent="0.2">
      <c r="A9">
        <v>2016</v>
      </c>
      <c r="B9">
        <v>17</v>
      </c>
      <c r="C9">
        <v>16</v>
      </c>
      <c r="D9">
        <v>11</v>
      </c>
      <c r="E9">
        <v>6</v>
      </c>
      <c r="F9">
        <v>50</v>
      </c>
    </row>
    <row r="10" spans="1:6" x14ac:dyDescent="0.2">
      <c r="A10">
        <v>2017</v>
      </c>
      <c r="B10">
        <v>16</v>
      </c>
      <c r="C10">
        <v>17</v>
      </c>
      <c r="D10">
        <v>9</v>
      </c>
      <c r="E10">
        <v>7</v>
      </c>
      <c r="F10">
        <v>49</v>
      </c>
    </row>
    <row r="11" spans="1:6" x14ac:dyDescent="0.2">
      <c r="A11">
        <v>2018</v>
      </c>
      <c r="B11">
        <v>15</v>
      </c>
      <c r="C11">
        <v>15</v>
      </c>
      <c r="D11">
        <v>10</v>
      </c>
      <c r="E11">
        <v>6</v>
      </c>
      <c r="F11">
        <v>46</v>
      </c>
    </row>
    <row r="12" spans="1:6" x14ac:dyDescent="0.2">
      <c r="A12">
        <v>2019</v>
      </c>
      <c r="B12">
        <v>14</v>
      </c>
      <c r="C12">
        <v>16</v>
      </c>
      <c r="D12">
        <v>10</v>
      </c>
      <c r="E12">
        <v>6</v>
      </c>
      <c r="F12">
        <v>46</v>
      </c>
    </row>
    <row r="13" spans="1:6" x14ac:dyDescent="0.2">
      <c r="A13">
        <v>2020</v>
      </c>
      <c r="B13">
        <v>15</v>
      </c>
      <c r="C13">
        <v>15</v>
      </c>
      <c r="D13">
        <v>9</v>
      </c>
      <c r="E13">
        <v>6</v>
      </c>
      <c r="F13">
        <v>45</v>
      </c>
    </row>
    <row r="14" spans="1:6" x14ac:dyDescent="0.2">
      <c r="A14">
        <v>2021</v>
      </c>
      <c r="B14">
        <v>16</v>
      </c>
      <c r="C14">
        <v>12</v>
      </c>
      <c r="D14">
        <v>11</v>
      </c>
      <c r="E14">
        <v>6</v>
      </c>
      <c r="F14">
        <v>45</v>
      </c>
    </row>
    <row r="15" spans="1:6" x14ac:dyDescent="0.2">
      <c r="A15">
        <v>2022</v>
      </c>
      <c r="B15">
        <v>15</v>
      </c>
      <c r="C15">
        <v>14</v>
      </c>
      <c r="D15">
        <v>9</v>
      </c>
      <c r="E15">
        <v>6</v>
      </c>
      <c r="F15">
        <v>44</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15"/>
  <sheetViews>
    <sheetView zoomScaleNormal="100" zoomScalePageLayoutView="60" workbookViewId="0"/>
  </sheetViews>
  <sheetFormatPr defaultColWidth="8.25" defaultRowHeight="14.25" x14ac:dyDescent="0.2"/>
  <cols>
    <col min="3" max="3" width="8.875" customWidth="1"/>
    <col min="4" max="4" width="10" customWidth="1"/>
  </cols>
  <sheetData>
    <row r="1" spans="1:6" x14ac:dyDescent="0.2">
      <c r="A1" t="s">
        <v>341</v>
      </c>
    </row>
    <row r="2" spans="1:6" x14ac:dyDescent="0.2">
      <c r="A2" t="s">
        <v>338</v>
      </c>
    </row>
    <row r="3" spans="1:6" x14ac:dyDescent="0.2">
      <c r="A3" t="s">
        <v>235</v>
      </c>
    </row>
    <row r="4" spans="1:6" x14ac:dyDescent="0.2">
      <c r="A4" t="s">
        <v>201</v>
      </c>
    </row>
    <row r="5" spans="1:6" x14ac:dyDescent="0.2">
      <c r="A5" t="s">
        <v>157</v>
      </c>
      <c r="B5" t="s">
        <v>237</v>
      </c>
      <c r="C5" t="s">
        <v>238</v>
      </c>
      <c r="D5" t="s">
        <v>239</v>
      </c>
      <c r="E5" t="s">
        <v>340</v>
      </c>
      <c r="F5" t="s">
        <v>209</v>
      </c>
    </row>
    <row r="6" spans="1:6" x14ac:dyDescent="0.2">
      <c r="A6">
        <v>2013</v>
      </c>
      <c r="B6">
        <v>7</v>
      </c>
      <c r="C6">
        <v>57</v>
      </c>
      <c r="D6">
        <v>79</v>
      </c>
      <c r="E6">
        <v>204</v>
      </c>
      <c r="F6">
        <v>346</v>
      </c>
    </row>
    <row r="7" spans="1:6" x14ac:dyDescent="0.2">
      <c r="A7">
        <v>2014</v>
      </c>
      <c r="B7">
        <v>7</v>
      </c>
      <c r="C7">
        <v>54</v>
      </c>
      <c r="D7">
        <v>74</v>
      </c>
      <c r="E7">
        <v>201</v>
      </c>
      <c r="F7">
        <v>335</v>
      </c>
    </row>
    <row r="8" spans="1:6" x14ac:dyDescent="0.2">
      <c r="A8">
        <v>2015</v>
      </c>
      <c r="B8">
        <v>6</v>
      </c>
      <c r="C8">
        <v>46</v>
      </c>
      <c r="D8">
        <v>79</v>
      </c>
      <c r="E8">
        <v>185</v>
      </c>
      <c r="F8">
        <v>316</v>
      </c>
    </row>
    <row r="9" spans="1:6" x14ac:dyDescent="0.2">
      <c r="A9">
        <v>2016</v>
      </c>
      <c r="B9">
        <v>7</v>
      </c>
      <c r="C9">
        <v>41</v>
      </c>
      <c r="D9">
        <v>78</v>
      </c>
      <c r="E9">
        <v>177</v>
      </c>
      <c r="F9">
        <v>303</v>
      </c>
    </row>
    <row r="10" spans="1:6" x14ac:dyDescent="0.2">
      <c r="A10">
        <v>2017</v>
      </c>
      <c r="B10">
        <v>6</v>
      </c>
      <c r="C10">
        <v>45</v>
      </c>
      <c r="D10">
        <v>71</v>
      </c>
      <c r="E10">
        <v>185</v>
      </c>
      <c r="F10">
        <v>307</v>
      </c>
    </row>
    <row r="11" spans="1:6" x14ac:dyDescent="0.2">
      <c r="A11">
        <v>2018</v>
      </c>
      <c r="B11">
        <v>6</v>
      </c>
      <c r="C11">
        <v>37</v>
      </c>
      <c r="D11">
        <v>71</v>
      </c>
      <c r="E11">
        <v>162</v>
      </c>
      <c r="F11">
        <v>276</v>
      </c>
    </row>
    <row r="12" spans="1:6" x14ac:dyDescent="0.2">
      <c r="A12">
        <v>2019</v>
      </c>
      <c r="B12">
        <v>6</v>
      </c>
      <c r="C12">
        <v>40</v>
      </c>
      <c r="D12">
        <v>76</v>
      </c>
      <c r="E12">
        <v>166</v>
      </c>
      <c r="F12">
        <v>288</v>
      </c>
    </row>
    <row r="13" spans="1:6" x14ac:dyDescent="0.2">
      <c r="A13">
        <v>2020</v>
      </c>
      <c r="B13">
        <v>6</v>
      </c>
      <c r="C13">
        <v>38</v>
      </c>
      <c r="D13">
        <v>69</v>
      </c>
      <c r="E13">
        <v>166</v>
      </c>
      <c r="F13">
        <v>279</v>
      </c>
    </row>
    <row r="14" spans="1:6" x14ac:dyDescent="0.2">
      <c r="A14">
        <v>2021</v>
      </c>
      <c r="B14">
        <v>6</v>
      </c>
      <c r="C14">
        <v>32</v>
      </c>
      <c r="D14">
        <v>75</v>
      </c>
      <c r="E14">
        <v>159</v>
      </c>
      <c r="F14">
        <v>273</v>
      </c>
    </row>
    <row r="15" spans="1:6" x14ac:dyDescent="0.2">
      <c r="A15">
        <v>2022</v>
      </c>
      <c r="B15">
        <v>5</v>
      </c>
      <c r="C15">
        <v>40</v>
      </c>
      <c r="D15">
        <v>64</v>
      </c>
      <c r="E15">
        <v>145</v>
      </c>
      <c r="F15">
        <v>255</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5"/>
  <sheetViews>
    <sheetView zoomScaleNormal="100" zoomScalePageLayoutView="60" workbookViewId="0"/>
  </sheetViews>
  <sheetFormatPr defaultColWidth="8.25" defaultRowHeight="14.25" x14ac:dyDescent="0.2"/>
  <cols>
    <col min="2" max="2" width="33.25" customWidth="1"/>
    <col min="3" max="3" width="23.25" customWidth="1"/>
    <col min="4" max="4" width="19.75" customWidth="1"/>
    <col min="5" max="5" width="8.375" customWidth="1"/>
  </cols>
  <sheetData>
    <row r="1" spans="1:5" x14ac:dyDescent="0.2">
      <c r="A1" t="s">
        <v>342</v>
      </c>
    </row>
    <row r="2" spans="1:5" x14ac:dyDescent="0.2">
      <c r="A2" t="s">
        <v>343</v>
      </c>
    </row>
    <row r="3" spans="1:5" x14ac:dyDescent="0.2">
      <c r="A3" t="s">
        <v>235</v>
      </c>
    </row>
    <row r="4" spans="1:5" x14ac:dyDescent="0.2">
      <c r="A4" t="s">
        <v>201</v>
      </c>
    </row>
    <row r="5" spans="1:5" x14ac:dyDescent="0.2">
      <c r="A5" t="s">
        <v>157</v>
      </c>
      <c r="B5" t="s">
        <v>344</v>
      </c>
      <c r="C5" t="s">
        <v>345</v>
      </c>
      <c r="D5" t="s">
        <v>346</v>
      </c>
      <c r="E5" t="s">
        <v>347</v>
      </c>
    </row>
    <row r="6" spans="1:5" x14ac:dyDescent="0.2">
      <c r="A6">
        <v>2013</v>
      </c>
      <c r="B6">
        <v>379</v>
      </c>
      <c r="C6">
        <v>260</v>
      </c>
      <c r="D6">
        <v>640</v>
      </c>
      <c r="E6">
        <v>126</v>
      </c>
    </row>
    <row r="7" spans="1:5" x14ac:dyDescent="0.2">
      <c r="A7">
        <v>2014</v>
      </c>
      <c r="B7">
        <v>228</v>
      </c>
      <c r="C7">
        <v>209</v>
      </c>
      <c r="D7">
        <v>437</v>
      </c>
      <c r="E7">
        <v>151</v>
      </c>
    </row>
    <row r="8" spans="1:5" x14ac:dyDescent="0.2">
      <c r="A8">
        <v>2015</v>
      </c>
      <c r="B8">
        <v>75</v>
      </c>
      <c r="C8">
        <v>202</v>
      </c>
      <c r="D8">
        <v>276</v>
      </c>
      <c r="E8">
        <v>86</v>
      </c>
    </row>
    <row r="9" spans="1:5" x14ac:dyDescent="0.2">
      <c r="A9">
        <v>2016</v>
      </c>
      <c r="B9">
        <v>48</v>
      </c>
      <c r="C9">
        <v>183</v>
      </c>
      <c r="D9">
        <v>231</v>
      </c>
      <c r="E9">
        <v>51</v>
      </c>
    </row>
    <row r="10" spans="1:5" x14ac:dyDescent="0.2">
      <c r="A10">
        <v>2017</v>
      </c>
      <c r="B10">
        <v>124</v>
      </c>
      <c r="C10">
        <v>207</v>
      </c>
      <c r="D10">
        <v>331</v>
      </c>
      <c r="E10">
        <v>92</v>
      </c>
    </row>
    <row r="11" spans="1:5" x14ac:dyDescent="0.2">
      <c r="A11">
        <v>2018</v>
      </c>
      <c r="B11">
        <v>67</v>
      </c>
      <c r="C11">
        <v>197</v>
      </c>
      <c r="D11">
        <v>264</v>
      </c>
      <c r="E11">
        <v>112</v>
      </c>
    </row>
    <row r="12" spans="1:5" x14ac:dyDescent="0.2">
      <c r="A12">
        <v>2019</v>
      </c>
      <c r="B12">
        <v>46</v>
      </c>
      <c r="C12">
        <v>154</v>
      </c>
      <c r="D12">
        <v>201</v>
      </c>
      <c r="E12">
        <v>109</v>
      </c>
    </row>
    <row r="13" spans="1:5" x14ac:dyDescent="0.2">
      <c r="A13">
        <v>2020</v>
      </c>
      <c r="B13">
        <v>29</v>
      </c>
      <c r="C13">
        <v>110</v>
      </c>
      <c r="D13">
        <v>140</v>
      </c>
      <c r="E13">
        <v>55</v>
      </c>
    </row>
    <row r="14" spans="1:5" x14ac:dyDescent="0.2">
      <c r="A14">
        <v>2021</v>
      </c>
      <c r="B14">
        <v>23</v>
      </c>
      <c r="C14">
        <v>145</v>
      </c>
      <c r="D14">
        <v>168</v>
      </c>
      <c r="E14">
        <v>51</v>
      </c>
    </row>
    <row r="15" spans="1:5" x14ac:dyDescent="0.2">
      <c r="A15">
        <v>2022</v>
      </c>
      <c r="B15">
        <v>31</v>
      </c>
      <c r="C15">
        <v>101</v>
      </c>
      <c r="D15">
        <v>132</v>
      </c>
      <c r="E15">
        <v>41</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5"/>
  <sheetViews>
    <sheetView zoomScaleNormal="100" zoomScalePageLayoutView="60" workbookViewId="0"/>
  </sheetViews>
  <sheetFormatPr defaultColWidth="8.25" defaultRowHeight="14.25" x14ac:dyDescent="0.2"/>
  <cols>
    <col min="2" max="2" width="25.75" customWidth="1"/>
    <col min="3" max="3" width="26.875" customWidth="1"/>
    <col min="4" max="4" width="40.25" customWidth="1"/>
    <col min="5" max="5" width="30.25" customWidth="1"/>
  </cols>
  <sheetData>
    <row r="1" spans="1:5" x14ac:dyDescent="0.2">
      <c r="A1" t="s">
        <v>348</v>
      </c>
    </row>
    <row r="2" spans="1:5" x14ac:dyDescent="0.2">
      <c r="A2" t="s">
        <v>349</v>
      </c>
    </row>
    <row r="3" spans="1:5" x14ac:dyDescent="0.2">
      <c r="A3" t="s">
        <v>235</v>
      </c>
    </row>
    <row r="4" spans="1:5" x14ac:dyDescent="0.2">
      <c r="A4" t="s">
        <v>350</v>
      </c>
    </row>
    <row r="5" spans="1:5" x14ac:dyDescent="0.2">
      <c r="A5" t="s">
        <v>157</v>
      </c>
      <c r="B5" t="s">
        <v>351</v>
      </c>
      <c r="C5" t="s">
        <v>352</v>
      </c>
      <c r="D5" t="s">
        <v>353</v>
      </c>
      <c r="E5" t="s">
        <v>354</v>
      </c>
    </row>
    <row r="6" spans="1:5" x14ac:dyDescent="0.2">
      <c r="A6">
        <v>2013</v>
      </c>
      <c r="B6">
        <v>76</v>
      </c>
      <c r="C6">
        <v>87</v>
      </c>
      <c r="D6">
        <v>83</v>
      </c>
      <c r="E6">
        <v>55</v>
      </c>
    </row>
    <row r="7" spans="1:5" x14ac:dyDescent="0.2">
      <c r="A7">
        <v>2014</v>
      </c>
      <c r="B7">
        <v>72</v>
      </c>
      <c r="C7">
        <v>84</v>
      </c>
      <c r="D7">
        <v>80</v>
      </c>
      <c r="E7">
        <v>69</v>
      </c>
    </row>
    <row r="8" spans="1:5" x14ac:dyDescent="0.2">
      <c r="A8">
        <v>2015</v>
      </c>
      <c r="B8">
        <v>69</v>
      </c>
      <c r="C8">
        <v>83</v>
      </c>
      <c r="D8">
        <v>80</v>
      </c>
      <c r="E8">
        <v>71</v>
      </c>
    </row>
    <row r="9" spans="1:5" x14ac:dyDescent="0.2">
      <c r="A9">
        <v>2016</v>
      </c>
      <c r="B9">
        <v>66</v>
      </c>
      <c r="C9">
        <v>82</v>
      </c>
      <c r="D9">
        <v>80</v>
      </c>
      <c r="E9">
        <v>70</v>
      </c>
    </row>
    <row r="10" spans="1:5" x14ac:dyDescent="0.2">
      <c r="A10">
        <v>2017</v>
      </c>
      <c r="B10">
        <v>76</v>
      </c>
      <c r="C10">
        <v>87</v>
      </c>
      <c r="D10">
        <v>79</v>
      </c>
      <c r="E10">
        <v>71</v>
      </c>
    </row>
    <row r="11" spans="1:5" x14ac:dyDescent="0.2">
      <c r="A11">
        <v>2018</v>
      </c>
      <c r="B11">
        <v>71</v>
      </c>
      <c r="C11">
        <v>82</v>
      </c>
      <c r="D11">
        <v>77</v>
      </c>
      <c r="E11">
        <v>61</v>
      </c>
    </row>
    <row r="12" spans="1:5" x14ac:dyDescent="0.2">
      <c r="A12">
        <v>2019</v>
      </c>
      <c r="B12">
        <v>65</v>
      </c>
      <c r="C12">
        <v>79</v>
      </c>
      <c r="D12">
        <v>77</v>
      </c>
      <c r="E12">
        <v>69</v>
      </c>
    </row>
    <row r="13" spans="1:5" x14ac:dyDescent="0.2">
      <c r="A13">
        <v>2020</v>
      </c>
      <c r="B13">
        <v>67</v>
      </c>
      <c r="C13">
        <v>82</v>
      </c>
      <c r="D13">
        <v>78</v>
      </c>
      <c r="E13">
        <v>64</v>
      </c>
    </row>
    <row r="14" spans="1:5" x14ac:dyDescent="0.2">
      <c r="A14">
        <v>2021</v>
      </c>
      <c r="B14">
        <v>71</v>
      </c>
      <c r="C14">
        <v>82</v>
      </c>
      <c r="D14">
        <v>78</v>
      </c>
      <c r="E14">
        <v>68</v>
      </c>
    </row>
    <row r="15" spans="1:5" x14ac:dyDescent="0.2">
      <c r="A15">
        <v>2022</v>
      </c>
      <c r="B15">
        <v>67</v>
      </c>
      <c r="C15">
        <v>80</v>
      </c>
      <c r="D15">
        <v>77</v>
      </c>
      <c r="E15">
        <v>73</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10"/>
  <sheetViews>
    <sheetView zoomScaleNormal="100" zoomScalePageLayoutView="60" workbookViewId="0"/>
  </sheetViews>
  <sheetFormatPr defaultColWidth="8.25" defaultRowHeight="14.25" x14ac:dyDescent="0.2"/>
  <cols>
    <col min="1" max="1" width="16" customWidth="1"/>
    <col min="2" max="2" width="51.875" customWidth="1"/>
    <col min="3" max="3" width="36.75" customWidth="1"/>
  </cols>
  <sheetData>
    <row r="1" spans="1:3" x14ac:dyDescent="0.2">
      <c r="A1" t="s">
        <v>355</v>
      </c>
    </row>
    <row r="2" spans="1:3" x14ac:dyDescent="0.2">
      <c r="A2" t="s">
        <v>356</v>
      </c>
    </row>
    <row r="3" spans="1:3" x14ac:dyDescent="0.2">
      <c r="A3" t="s">
        <v>235</v>
      </c>
    </row>
    <row r="4" spans="1:3" x14ac:dyDescent="0.2">
      <c r="A4" t="s">
        <v>357</v>
      </c>
    </row>
    <row r="5" spans="1:3" x14ac:dyDescent="0.2">
      <c r="A5" t="s">
        <v>358</v>
      </c>
      <c r="B5" t="s">
        <v>351</v>
      </c>
      <c r="C5" t="s">
        <v>352</v>
      </c>
    </row>
    <row r="6" spans="1:3" x14ac:dyDescent="0.2">
      <c r="A6" t="s">
        <v>166</v>
      </c>
      <c r="B6">
        <v>27</v>
      </c>
      <c r="C6">
        <v>61</v>
      </c>
    </row>
    <row r="7" spans="1:3" x14ac:dyDescent="0.2">
      <c r="A7" t="s">
        <v>167</v>
      </c>
      <c r="B7">
        <v>70</v>
      </c>
      <c r="C7">
        <v>86</v>
      </c>
    </row>
    <row r="8" spans="1:3" x14ac:dyDescent="0.2">
      <c r="A8" t="s">
        <v>168</v>
      </c>
      <c r="B8">
        <v>77</v>
      </c>
      <c r="C8">
        <v>85</v>
      </c>
    </row>
    <row r="9" spans="1:3" x14ac:dyDescent="0.2">
      <c r="A9" t="s">
        <v>169</v>
      </c>
      <c r="B9">
        <v>34</v>
      </c>
      <c r="C9">
        <v>88</v>
      </c>
    </row>
    <row r="10" spans="1:3" x14ac:dyDescent="0.2">
      <c r="A10" t="s">
        <v>170</v>
      </c>
      <c r="B10">
        <v>67</v>
      </c>
      <c r="C10">
        <v>80</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10"/>
  <sheetViews>
    <sheetView zoomScaleNormal="100" zoomScalePageLayoutView="60" workbookViewId="0"/>
  </sheetViews>
  <sheetFormatPr defaultColWidth="8.25" defaultRowHeight="14.25" x14ac:dyDescent="0.2"/>
  <cols>
    <col min="1" max="1" width="33.875" customWidth="1"/>
    <col min="2" max="3" width="25.625" customWidth="1"/>
    <col min="4" max="4" width="42.125" customWidth="1"/>
    <col min="5" max="5" width="17.125" customWidth="1"/>
  </cols>
  <sheetData>
    <row r="1" spans="1:5" x14ac:dyDescent="0.2">
      <c r="A1" t="s">
        <v>359</v>
      </c>
    </row>
    <row r="2" spans="1:5" x14ac:dyDescent="0.2">
      <c r="A2" t="s">
        <v>349</v>
      </c>
    </row>
    <row r="3" spans="1:5" x14ac:dyDescent="0.2">
      <c r="A3" t="s">
        <v>235</v>
      </c>
    </row>
    <row r="4" spans="1:5" x14ac:dyDescent="0.2">
      <c r="A4" t="s">
        <v>360</v>
      </c>
    </row>
    <row r="5" spans="1:5" x14ac:dyDescent="0.2">
      <c r="A5" t="s">
        <v>361</v>
      </c>
      <c r="B5" t="s">
        <v>362</v>
      </c>
      <c r="C5" t="s">
        <v>363</v>
      </c>
      <c r="D5" t="s">
        <v>364</v>
      </c>
      <c r="E5" t="s">
        <v>365</v>
      </c>
    </row>
    <row r="6" spans="1:5" x14ac:dyDescent="0.2">
      <c r="A6" t="s">
        <v>366</v>
      </c>
      <c r="B6">
        <v>41</v>
      </c>
      <c r="C6">
        <v>12</v>
      </c>
      <c r="D6">
        <v>88</v>
      </c>
      <c r="E6">
        <v>141</v>
      </c>
    </row>
    <row r="7" spans="1:5" x14ac:dyDescent="0.2">
      <c r="A7" t="s">
        <v>367</v>
      </c>
      <c r="B7">
        <v>5</v>
      </c>
      <c r="C7">
        <v>8</v>
      </c>
      <c r="D7">
        <v>66</v>
      </c>
      <c r="E7">
        <v>79</v>
      </c>
    </row>
    <row r="8" spans="1:5" x14ac:dyDescent="0.2">
      <c r="A8" t="s">
        <v>368</v>
      </c>
      <c r="B8">
        <v>11</v>
      </c>
      <c r="C8">
        <v>3</v>
      </c>
      <c r="D8">
        <v>19</v>
      </c>
      <c r="E8">
        <v>33</v>
      </c>
    </row>
    <row r="9" spans="1:5" x14ac:dyDescent="0.2">
      <c r="A9" t="s">
        <v>369</v>
      </c>
      <c r="B9">
        <v>25</v>
      </c>
      <c r="C9">
        <v>1</v>
      </c>
      <c r="D9">
        <v>3</v>
      </c>
      <c r="E9">
        <v>29</v>
      </c>
    </row>
    <row r="10" spans="1:5" x14ac:dyDescent="0.2">
      <c r="A10" t="s">
        <v>370</v>
      </c>
      <c r="B10">
        <v>8</v>
      </c>
      <c r="C10">
        <v>2</v>
      </c>
      <c r="D10">
        <v>34</v>
      </c>
      <c r="E10">
        <v>44</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15"/>
  <sheetViews>
    <sheetView zoomScaleNormal="100" zoomScalePageLayoutView="60" workbookViewId="0"/>
  </sheetViews>
  <sheetFormatPr defaultColWidth="8.25" defaultRowHeight="14.25" x14ac:dyDescent="0.2"/>
  <sheetData>
    <row r="1" spans="1:3" x14ac:dyDescent="0.2">
      <c r="A1" t="s">
        <v>371</v>
      </c>
    </row>
    <row r="2" spans="1:3" x14ac:dyDescent="0.2">
      <c r="A2" t="s">
        <v>372</v>
      </c>
    </row>
    <row r="3" spans="1:3" x14ac:dyDescent="0.2">
      <c r="A3" t="s">
        <v>235</v>
      </c>
    </row>
    <row r="4" spans="1:3" x14ac:dyDescent="0.2">
      <c r="A4" t="s">
        <v>373</v>
      </c>
    </row>
    <row r="5" spans="1:3" x14ac:dyDescent="0.2">
      <c r="A5" t="s">
        <v>157</v>
      </c>
      <c r="B5" t="s">
        <v>209</v>
      </c>
      <c r="C5" t="s">
        <v>374</v>
      </c>
    </row>
    <row r="6" spans="1:3" x14ac:dyDescent="0.2">
      <c r="A6">
        <v>2013</v>
      </c>
      <c r="B6">
        <v>0.83</v>
      </c>
    </row>
    <row r="7" spans="1:3" x14ac:dyDescent="0.2">
      <c r="A7">
        <v>2014</v>
      </c>
      <c r="B7">
        <v>1.34</v>
      </c>
      <c r="C7" t="s">
        <v>375</v>
      </c>
    </row>
    <row r="8" spans="1:3" x14ac:dyDescent="0.2">
      <c r="A8">
        <v>2015</v>
      </c>
      <c r="B8">
        <v>1.45</v>
      </c>
    </row>
    <row r="9" spans="1:3" x14ac:dyDescent="0.2">
      <c r="A9">
        <v>2016</v>
      </c>
      <c r="B9">
        <v>1.55</v>
      </c>
    </row>
    <row r="10" spans="1:3" x14ac:dyDescent="0.2">
      <c r="A10">
        <v>2017</v>
      </c>
      <c r="B10">
        <v>1.66</v>
      </c>
    </row>
    <row r="11" spans="1:3" x14ac:dyDescent="0.2">
      <c r="A11">
        <v>2018</v>
      </c>
      <c r="B11">
        <v>2.17</v>
      </c>
    </row>
    <row r="12" spans="1:3" x14ac:dyDescent="0.2">
      <c r="A12">
        <v>2019</v>
      </c>
      <c r="B12">
        <v>2.4900000000000002</v>
      </c>
    </row>
    <row r="13" spans="1:3" x14ac:dyDescent="0.2">
      <c r="A13">
        <v>2020</v>
      </c>
      <c r="B13">
        <v>2.48</v>
      </c>
    </row>
    <row r="14" spans="1:3" x14ac:dyDescent="0.2">
      <c r="A14">
        <v>2021</v>
      </c>
      <c r="B14">
        <v>2.54</v>
      </c>
    </row>
    <row r="15" spans="1:3" x14ac:dyDescent="0.2">
      <c r="A15">
        <v>2022</v>
      </c>
      <c r="B15">
        <v>2.64</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13"/>
  <sheetViews>
    <sheetView zoomScaleNormal="100" zoomScalePageLayoutView="60" workbookViewId="0"/>
  </sheetViews>
  <sheetFormatPr defaultColWidth="8.25" defaultRowHeight="14.25" x14ac:dyDescent="0.2"/>
  <cols>
    <col min="1" max="1" width="33.5" customWidth="1"/>
  </cols>
  <sheetData>
    <row r="1" spans="1:6" x14ac:dyDescent="0.2">
      <c r="A1" t="s">
        <v>376</v>
      </c>
    </row>
    <row r="2" spans="1:6" x14ac:dyDescent="0.2">
      <c r="A2" t="s">
        <v>377</v>
      </c>
    </row>
    <row r="3" spans="1:6" x14ac:dyDescent="0.2">
      <c r="A3" t="s">
        <v>235</v>
      </c>
    </row>
    <row r="4" spans="1:6" x14ac:dyDescent="0.2">
      <c r="A4" t="s">
        <v>201</v>
      </c>
    </row>
    <row r="5" spans="1:6" x14ac:dyDescent="0.2">
      <c r="A5" t="s">
        <v>378</v>
      </c>
      <c r="B5" t="s">
        <v>379</v>
      </c>
      <c r="C5" t="s">
        <v>380</v>
      </c>
      <c r="D5" t="s">
        <v>381</v>
      </c>
      <c r="E5" t="s">
        <v>382</v>
      </c>
      <c r="F5" t="s">
        <v>383</v>
      </c>
    </row>
    <row r="6" spans="1:6" x14ac:dyDescent="0.2">
      <c r="A6" t="s">
        <v>202</v>
      </c>
      <c r="B6">
        <v>792</v>
      </c>
      <c r="C6">
        <v>757</v>
      </c>
      <c r="D6">
        <v>772</v>
      </c>
      <c r="E6">
        <v>819</v>
      </c>
      <c r="F6">
        <v>938</v>
      </c>
    </row>
    <row r="7" spans="1:6" x14ac:dyDescent="0.2">
      <c r="A7" t="s">
        <v>384</v>
      </c>
      <c r="B7">
        <v>633</v>
      </c>
      <c r="C7">
        <v>533</v>
      </c>
      <c r="D7">
        <v>569</v>
      </c>
      <c r="E7">
        <v>621</v>
      </c>
      <c r="F7">
        <v>667</v>
      </c>
    </row>
    <row r="8" spans="1:6" x14ac:dyDescent="0.2">
      <c r="A8" t="s">
        <v>385</v>
      </c>
      <c r="B8">
        <v>7</v>
      </c>
      <c r="C8">
        <v>17</v>
      </c>
      <c r="D8">
        <v>23</v>
      </c>
      <c r="E8">
        <v>12</v>
      </c>
      <c r="F8">
        <v>14</v>
      </c>
    </row>
    <row r="9" spans="1:6" x14ac:dyDescent="0.2">
      <c r="A9" t="s">
        <v>386</v>
      </c>
      <c r="B9">
        <v>152</v>
      </c>
      <c r="C9">
        <v>206</v>
      </c>
      <c r="D9">
        <v>180</v>
      </c>
      <c r="E9">
        <v>186</v>
      </c>
      <c r="F9">
        <v>256</v>
      </c>
    </row>
    <row r="10" spans="1:6" x14ac:dyDescent="0.2">
      <c r="A10" t="s">
        <v>370</v>
      </c>
      <c r="B10">
        <v>65</v>
      </c>
      <c r="C10">
        <v>77</v>
      </c>
      <c r="D10">
        <v>79</v>
      </c>
      <c r="E10">
        <v>81</v>
      </c>
      <c r="F10">
        <v>80</v>
      </c>
    </row>
    <row r="11" spans="1:6" x14ac:dyDescent="0.2">
      <c r="A11" t="s">
        <v>384</v>
      </c>
      <c r="B11">
        <v>52</v>
      </c>
      <c r="C11">
        <v>43</v>
      </c>
      <c r="D11">
        <v>43</v>
      </c>
      <c r="E11">
        <v>44</v>
      </c>
      <c r="F11">
        <v>43</v>
      </c>
    </row>
    <row r="12" spans="1:6" x14ac:dyDescent="0.2">
      <c r="A12" t="s">
        <v>385</v>
      </c>
      <c r="B12">
        <v>8</v>
      </c>
      <c r="C12">
        <v>10</v>
      </c>
      <c r="D12">
        <v>10</v>
      </c>
      <c r="E12">
        <v>9</v>
      </c>
      <c r="F12">
        <v>8</v>
      </c>
    </row>
    <row r="13" spans="1:6" x14ac:dyDescent="0.2">
      <c r="A13" t="s">
        <v>386</v>
      </c>
      <c r="B13">
        <v>4</v>
      </c>
      <c r="C13">
        <v>25</v>
      </c>
      <c r="D13">
        <v>27</v>
      </c>
      <c r="E13">
        <v>28</v>
      </c>
      <c r="F13">
        <v>28</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B15"/>
  <sheetViews>
    <sheetView zoomScaleNormal="100" zoomScalePageLayoutView="60" workbookViewId="0"/>
  </sheetViews>
  <sheetFormatPr defaultColWidth="8.375" defaultRowHeight="14.25" x14ac:dyDescent="0.2"/>
  <cols>
    <col min="2" max="2" width="7.75" customWidth="1"/>
  </cols>
  <sheetData>
    <row r="1" spans="1:2" x14ac:dyDescent="0.2">
      <c r="A1" t="s">
        <v>387</v>
      </c>
    </row>
    <row r="2" spans="1:2" x14ac:dyDescent="0.2">
      <c r="A2" t="s">
        <v>388</v>
      </c>
    </row>
    <row r="3" spans="1:2" x14ac:dyDescent="0.2">
      <c r="A3" t="s">
        <v>235</v>
      </c>
    </row>
    <row r="4" spans="1:2" x14ac:dyDescent="0.2">
      <c r="A4" t="s">
        <v>317</v>
      </c>
    </row>
    <row r="5" spans="1:2" x14ac:dyDescent="0.2">
      <c r="A5" t="s">
        <v>157</v>
      </c>
      <c r="B5" t="s">
        <v>209</v>
      </c>
    </row>
    <row r="6" spans="1:2" x14ac:dyDescent="0.2">
      <c r="A6">
        <v>2013</v>
      </c>
      <c r="B6">
        <v>301</v>
      </c>
    </row>
    <row r="7" spans="1:2" x14ac:dyDescent="0.2">
      <c r="A7">
        <v>2014</v>
      </c>
      <c r="B7">
        <v>354</v>
      </c>
    </row>
    <row r="8" spans="1:2" x14ac:dyDescent="0.2">
      <c r="A8">
        <v>2015</v>
      </c>
      <c r="B8">
        <v>343</v>
      </c>
    </row>
    <row r="9" spans="1:2" x14ac:dyDescent="0.2">
      <c r="A9">
        <v>2016</v>
      </c>
      <c r="B9">
        <v>329</v>
      </c>
    </row>
    <row r="10" spans="1:2" x14ac:dyDescent="0.2">
      <c r="A10">
        <v>2017</v>
      </c>
      <c r="B10">
        <v>287</v>
      </c>
    </row>
    <row r="11" spans="1:2" x14ac:dyDescent="0.2">
      <c r="A11">
        <v>2018</v>
      </c>
      <c r="B11">
        <v>279</v>
      </c>
    </row>
    <row r="12" spans="1:2" x14ac:dyDescent="0.2">
      <c r="A12">
        <v>2019</v>
      </c>
      <c r="B12">
        <v>298</v>
      </c>
    </row>
    <row r="13" spans="1:2" x14ac:dyDescent="0.2">
      <c r="A13">
        <v>2020</v>
      </c>
      <c r="B13">
        <v>298</v>
      </c>
    </row>
    <row r="14" spans="1:2" x14ac:dyDescent="0.2">
      <c r="A14">
        <v>2021</v>
      </c>
      <c r="B14">
        <v>304</v>
      </c>
    </row>
    <row r="15" spans="1:2" x14ac:dyDescent="0.2">
      <c r="A15">
        <v>2022</v>
      </c>
      <c r="B15">
        <v>327</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D10"/>
  <sheetViews>
    <sheetView zoomScaleNormal="100" zoomScalePageLayoutView="60" workbookViewId="0"/>
  </sheetViews>
  <sheetFormatPr defaultColWidth="8.25" defaultRowHeight="14.25" x14ac:dyDescent="0.2"/>
  <cols>
    <col min="2" max="2" width="14.625" customWidth="1"/>
    <col min="3" max="3" width="29.25" customWidth="1"/>
    <col min="4" max="4" width="7.75" customWidth="1"/>
  </cols>
  <sheetData>
    <row r="1" spans="1:4" x14ac:dyDescent="0.2">
      <c r="A1" t="s">
        <v>389</v>
      </c>
    </row>
    <row r="2" spans="1:4" x14ac:dyDescent="0.2">
      <c r="A2" t="s">
        <v>388</v>
      </c>
    </row>
    <row r="3" spans="1:4" x14ac:dyDescent="0.2">
      <c r="A3" t="s">
        <v>235</v>
      </c>
    </row>
    <row r="4" spans="1:4" x14ac:dyDescent="0.2">
      <c r="A4" t="s">
        <v>317</v>
      </c>
    </row>
    <row r="5" spans="1:4" x14ac:dyDescent="0.2">
      <c r="A5" t="s">
        <v>157</v>
      </c>
      <c r="B5" t="s">
        <v>390</v>
      </c>
      <c r="C5" t="s">
        <v>391</v>
      </c>
      <c r="D5" t="s">
        <v>209</v>
      </c>
    </row>
    <row r="6" spans="1:4" x14ac:dyDescent="0.2">
      <c r="A6">
        <v>2018</v>
      </c>
      <c r="B6">
        <v>453</v>
      </c>
      <c r="C6">
        <v>226</v>
      </c>
      <c r="D6">
        <v>679</v>
      </c>
    </row>
    <row r="7" spans="1:4" x14ac:dyDescent="0.2">
      <c r="A7">
        <v>2019</v>
      </c>
      <c r="B7">
        <v>307</v>
      </c>
      <c r="C7">
        <v>263</v>
      </c>
      <c r="D7">
        <v>570</v>
      </c>
    </row>
    <row r="8" spans="1:4" x14ac:dyDescent="0.2">
      <c r="A8">
        <v>2020</v>
      </c>
      <c r="B8">
        <v>390</v>
      </c>
      <c r="C8">
        <v>254</v>
      </c>
      <c r="D8">
        <v>644</v>
      </c>
    </row>
    <row r="9" spans="1:4" x14ac:dyDescent="0.2">
      <c r="A9">
        <v>2021</v>
      </c>
      <c r="B9">
        <v>363</v>
      </c>
      <c r="C9">
        <v>248</v>
      </c>
      <c r="D9">
        <v>611</v>
      </c>
    </row>
    <row r="10" spans="1:4" x14ac:dyDescent="0.2">
      <c r="A10">
        <v>2022</v>
      </c>
      <c r="B10">
        <v>246</v>
      </c>
      <c r="C10">
        <v>308</v>
      </c>
      <c r="D10">
        <v>555</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D9"/>
  <sheetViews>
    <sheetView zoomScaleNormal="100" zoomScalePageLayoutView="60" workbookViewId="0"/>
  </sheetViews>
  <sheetFormatPr defaultColWidth="8.375" defaultRowHeight="14.25" x14ac:dyDescent="0.2"/>
  <cols>
    <col min="1" max="1" width="36.75" customWidth="1"/>
    <col min="2" max="2" width="6.125" customWidth="1"/>
    <col min="3" max="4" width="8" customWidth="1"/>
  </cols>
  <sheetData>
    <row r="1" spans="1:4" x14ac:dyDescent="0.2">
      <c r="A1" t="s">
        <v>392</v>
      </c>
    </row>
    <row r="2" spans="1:4" x14ac:dyDescent="0.2">
      <c r="A2" t="s">
        <v>393</v>
      </c>
    </row>
    <row r="3" spans="1:4" x14ac:dyDescent="0.2">
      <c r="A3" t="s">
        <v>235</v>
      </c>
    </row>
    <row r="4" spans="1:4" x14ac:dyDescent="0.2">
      <c r="A4" t="s">
        <v>394</v>
      </c>
    </row>
    <row r="5" spans="1:4" x14ac:dyDescent="0.2">
      <c r="A5" t="s">
        <v>395</v>
      </c>
      <c r="B5" t="s">
        <v>381</v>
      </c>
      <c r="C5" t="s">
        <v>382</v>
      </c>
      <c r="D5" t="s">
        <v>383</v>
      </c>
    </row>
    <row r="6" spans="1:4" x14ac:dyDescent="0.2">
      <c r="A6" t="s">
        <v>396</v>
      </c>
      <c r="B6">
        <v>42</v>
      </c>
      <c r="C6">
        <v>39</v>
      </c>
      <c r="D6">
        <v>44</v>
      </c>
    </row>
    <row r="7" spans="1:4" x14ac:dyDescent="0.2">
      <c r="A7" t="s">
        <v>397</v>
      </c>
      <c r="B7">
        <v>27</v>
      </c>
      <c r="C7">
        <v>25</v>
      </c>
      <c r="D7">
        <v>26</v>
      </c>
    </row>
    <row r="8" spans="1:4" x14ac:dyDescent="0.2">
      <c r="A8" t="s">
        <v>398</v>
      </c>
      <c r="B8">
        <v>77</v>
      </c>
      <c r="C8">
        <v>82</v>
      </c>
      <c r="D8">
        <v>93</v>
      </c>
    </row>
    <row r="9" spans="1:4" x14ac:dyDescent="0.2">
      <c r="A9" t="s">
        <v>397</v>
      </c>
      <c r="B9">
        <v>92</v>
      </c>
      <c r="C9">
        <v>95</v>
      </c>
      <c r="D9">
        <v>83</v>
      </c>
    </row>
  </sheetData>
  <pageMargins left="0.7" right="0.7" top="0.3" bottom="0.3" header="0.3" footer="0.3"/>
  <pageSetup paperSize="9" orientation="portrait" horizontalDpi="300" verticalDpi="300"/>
  <headerFooter differentFirst="1">
    <oddFooter>&amp;L&amp;1#&amp;8Classified as Official</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48</vt:i4>
      </vt:variant>
    </vt:vector>
  </HeadingPairs>
  <TitlesOfParts>
    <vt:vector size="48" baseType="lpstr">
      <vt:lpstr>Cover</vt:lpstr>
      <vt:lpstr>Notes</vt:lpstr>
      <vt:lpstr>Table_2_1a</vt:lpstr>
      <vt:lpstr>Table_2_1b</vt:lpstr>
      <vt:lpstr>Table_2_2</vt:lpstr>
      <vt:lpstr>Table_2_3</vt:lpstr>
      <vt:lpstr>Table_2_4a</vt:lpstr>
      <vt:lpstr>Table_2_4b</vt:lpstr>
      <vt:lpstr>Table_2_5</vt:lpstr>
      <vt:lpstr>Figure_2_1_data</vt:lpstr>
      <vt:lpstr>Table_2_6</vt:lpstr>
      <vt:lpstr>Figure_2_2_data</vt:lpstr>
      <vt:lpstr>Table_2_7a</vt:lpstr>
      <vt:lpstr>Table_2_7b</vt:lpstr>
      <vt:lpstr>Table_2_8</vt:lpstr>
      <vt:lpstr>Table_2_9</vt:lpstr>
      <vt:lpstr>Table_2_10</vt:lpstr>
      <vt:lpstr>Table_2_11</vt:lpstr>
      <vt:lpstr>Table_2_12</vt:lpstr>
      <vt:lpstr>Table_2_13</vt:lpstr>
      <vt:lpstr>Table_2_14</vt:lpstr>
      <vt:lpstr>Table_2_15</vt:lpstr>
      <vt:lpstr>Table_2_16a</vt:lpstr>
      <vt:lpstr>Table_2_16b</vt:lpstr>
      <vt:lpstr>Table_2_17a</vt:lpstr>
      <vt:lpstr>Table_2_17b</vt:lpstr>
      <vt:lpstr>Table_2_18a</vt:lpstr>
      <vt:lpstr>Table_2_18b</vt:lpstr>
      <vt:lpstr>Table_2_19a</vt:lpstr>
      <vt:lpstr>Table_2_19b</vt:lpstr>
      <vt:lpstr>Table_2_20</vt:lpstr>
      <vt:lpstr>Figure_2_3_data</vt:lpstr>
      <vt:lpstr>Table_2_21</vt:lpstr>
      <vt:lpstr>Table_2_22</vt:lpstr>
      <vt:lpstr>Figure_2_4_data</vt:lpstr>
      <vt:lpstr>Table_2_23</vt:lpstr>
      <vt:lpstr>Table_2_24</vt:lpstr>
      <vt:lpstr>Table_2_25</vt:lpstr>
      <vt:lpstr>Table_2_26</vt:lpstr>
      <vt:lpstr>Table_2_27</vt:lpstr>
      <vt:lpstr>Table_2_28a</vt:lpstr>
      <vt:lpstr>Table_2_28b</vt:lpstr>
      <vt:lpstr>Table_2_29</vt:lpstr>
      <vt:lpstr>Table_2_30</vt:lpstr>
      <vt:lpstr>Table_2_31</vt:lpstr>
      <vt:lpstr>Table_2_32</vt:lpstr>
      <vt:lpstr>Table_2_33</vt:lpstr>
      <vt:lpstr>Table_2_34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eustudyassist</dc:creator>
  <dc:description/>
  <cp:lastModifiedBy>eustudyassist</cp:lastModifiedBy>
  <cp:revision>0</cp:revision>
  <dcterms:created xsi:type="dcterms:W3CDTF">2023-09-27T07:40:29Z</dcterms:created>
  <dcterms:modified xsi:type="dcterms:W3CDTF">2026-08-30T16:48:42Z</dcterms:modified>
  <dc:language>en-US</dc:language>
</cp:coreProperties>
</file>